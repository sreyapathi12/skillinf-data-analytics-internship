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1_Lifecycle" sheetId="2" state="visible" r:id="rId4"/>
    <sheet name="2_Raw_Data" sheetId="3" state="visible" r:id="rId5"/>
    <sheet name="3_Cleaning_Log" sheetId="4" state="visible" r:id="rId6"/>
    <sheet name="4_Clean_Data" sheetId="5" state="visible" r:id="rId7"/>
    <sheet name="5_Descriptive_Stats" sheetId="6" state="visible" r:id="rId8"/>
    <sheet name="6_KPI_Report" sheetId="7" state="visible" r:id="rId9"/>
    <sheet name="7_Analyst_Roles_Career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<sst xmlns="http://schemas.openxmlformats.org/spreadsheetml/2006/main" count="808" uniqueCount="326">
  <si>
    <t xml:space="preserve">Sales Performance Dashboard – Jul to Sep 2026</t>
  </si>
  <si>
    <t xml:space="preserve">Use the yellow dropdowns to filter. Revenue figures exclude Cancelled orders. Source: 4_Clean_Data.</t>
  </si>
  <si>
    <t xml:space="preserve">Region filter</t>
  </si>
  <si>
    <t xml:space="preserve">All</t>
  </si>
  <si>
    <t xml:space="preserve">Criteria helper (do not edit)</t>
  </si>
  <si>
    <t xml:space="preserve">Category filter</t>
  </si>
  <si>
    <t xml:space="preserve">Total Revenue (₹)</t>
  </si>
  <si>
    <t xml:space="preserve">Valid Orders</t>
  </si>
  <si>
    <t xml:space="preserve">Avg Order Value (₹)</t>
  </si>
  <si>
    <t xml:space="preserve">Units Sold</t>
  </si>
  <si>
    <t xml:space="preserve">Cancellation Rate</t>
  </si>
  <si>
    <t xml:space="preserve">Top Product</t>
  </si>
  <si>
    <t xml:space="preserve">Top Region</t>
  </si>
  <si>
    <t xml:space="preserve">Revenue trend by month</t>
  </si>
  <si>
    <t xml:space="preserve">Month</t>
  </si>
  <si>
    <t xml:space="preserve">Revenue (₹)</t>
  </si>
  <si>
    <t xml:space="preserve">Orders</t>
  </si>
  <si>
    <t xml:space="preserve">Month start</t>
  </si>
  <si>
    <t xml:space="preserve">Jul 2026</t>
  </si>
  <si>
    <t xml:space="preserve">Aug 2026</t>
  </si>
  <si>
    <t xml:space="preserve">Sep 2026</t>
  </si>
  <si>
    <t xml:space="preserve">Month-on-month growth (Sep vs Aug)</t>
  </si>
  <si>
    <t xml:space="preserve">Product performance</t>
  </si>
  <si>
    <t xml:space="preserve">Product</t>
  </si>
  <si>
    <t xml:space="preserve">Rank</t>
  </si>
  <si>
    <t xml:space="preserve">Laptop</t>
  </si>
  <si>
    <t xml:space="preserve">Smartphone</t>
  </si>
  <si>
    <t xml:space="preserve">Headphones</t>
  </si>
  <si>
    <t xml:space="preserve">Keyboard</t>
  </si>
  <si>
    <t xml:space="preserve">Office Chair</t>
  </si>
  <si>
    <t xml:space="preserve">Desk</t>
  </si>
  <si>
    <t xml:space="preserve">Notebook Pack</t>
  </si>
  <si>
    <t xml:space="preserve">Pen Set</t>
  </si>
  <si>
    <t xml:space="preserve">Regional performance (follows Category filter only)</t>
  </si>
  <si>
    <t xml:space="preserve">Region</t>
  </si>
  <si>
    <t xml:space="preserve">Share</t>
  </si>
  <si>
    <t xml:space="preserve">North</t>
  </si>
  <si>
    <t xml:space="preserve">South</t>
  </si>
  <si>
    <t xml:space="preserve">East</t>
  </si>
  <si>
    <t xml:space="preserve">West</t>
  </si>
  <si>
    <t xml:space="preserve">Unspecified</t>
  </si>
  <si>
    <t xml:space="preserve">Key findings</t>
  </si>
  <si>
    <t xml:space="preserve">Week 1 – The Data Analytics Lifecycle, End to End</t>
  </si>
  <si>
    <t xml:space="preserve">Each stage is mapped to what was actually done in this workbook, using a sample retail sales dataset (Jul–Sep 2026).</t>
  </si>
  <si>
    <t xml:space="preserve">#</t>
  </si>
  <si>
    <t xml:space="preserve">Stage</t>
  </si>
  <si>
    <t xml:space="preserve">What it means</t>
  </si>
  <si>
    <t xml:space="preserve">Applied in this workbook</t>
  </si>
  <si>
    <t xml:space="preserve">Typical tools</t>
  </si>
  <si>
    <t xml:space="preserve">Ask / Define</t>
  </si>
  <si>
    <t xml:space="preserve">Understand the business problem and decide which questions and metrics matter.</t>
  </si>
  <si>
    <t xml:space="preserve">Question: How are sales performing, which regions and categories drive revenue, and how much revenue is lost to cancellations?</t>
  </si>
  <si>
    <t xml:space="preserve">Stakeholder meetings, briefs, KPI lists</t>
  </si>
  <si>
    <t xml:space="preserve">Collect</t>
  </si>
  <si>
    <t xml:space="preserve">Gather data from databases, files, APIs or surveys.</t>
  </si>
  <si>
    <t xml:space="preserve">Raw order export loaded in sheet 2_Raw_Data (messy, as it would arrive from a source system).</t>
  </si>
  <si>
    <t xml:space="preserve">SQL, CSV/Excel exports, APIs, Power Query</t>
  </si>
  <si>
    <t xml:space="preserve">Clean / Prepare</t>
  </si>
  <si>
    <t xml:space="preserve">Fix duplicates, blanks, wrong formats and inconsistent text so the data is trustworthy.</t>
  </si>
  <si>
    <t xml:space="preserve">Documented in 3_Cleaning_Log; result is in 4_Clean_Data.</t>
  </si>
  <si>
    <t xml:space="preserve">Excel, Power Query, Python (Pandas), SQL</t>
  </si>
  <si>
    <t xml:space="preserve">Analyse</t>
  </si>
  <si>
    <t xml:space="preserve">Summarise and explore the data with statistics, grouping and comparisons.</t>
  </si>
  <si>
    <t xml:space="preserve">Descriptive statistics in 5_Descriptive_Stats; group-by summaries by Region and Category in 6_KPI_Report.</t>
  </si>
  <si>
    <t xml:space="preserve">Excel formulas / Pivot tables, SQL, Python</t>
  </si>
  <si>
    <t xml:space="preserve">Visualise &amp; Report</t>
  </si>
  <si>
    <t xml:space="preserve">Turn findings into KPIs, charts and a clear story for decision-makers.</t>
  </si>
  <si>
    <t xml:space="preserve">KPI cards, region chart and written insights in 6_KPI_Report.</t>
  </si>
  <si>
    <t xml:space="preserve">Excel charts, Power BI, Tableau</t>
  </si>
  <si>
    <t xml:space="preserve">Act / Monitor</t>
  </si>
  <si>
    <t xml:space="preserve">Decision-makers act on insights; metrics are tracked over time and the cycle repeats.</t>
  </si>
  <si>
    <t xml:space="preserve">Recommendations listed at the bottom of 6_KPI_Report; KPIs would be refreshed monthly.</t>
  </si>
  <si>
    <t xml:space="preserve">Dashboards, scheduled reports, A/B tests</t>
  </si>
  <si>
    <t xml:space="preserve">Order ID</t>
  </si>
  <si>
    <t xml:space="preserve">Order Date</t>
  </si>
  <si>
    <t xml:space="preserve">Customer</t>
  </si>
  <si>
    <t xml:space="preserve">Category</t>
  </si>
  <si>
    <t xml:space="preserve">Quantity</t>
  </si>
  <si>
    <t xml:space="preserve">Unit Price (₹)</t>
  </si>
  <si>
    <t xml:space="preserve">Discount %</t>
  </si>
  <si>
    <t xml:space="preserve">Payment Status</t>
  </si>
  <si>
    <t xml:space="preserve">ORD-1001</t>
  </si>
  <si>
    <t xml:space="preserve">20/07/2026</t>
  </si>
  <si>
    <t xml:space="preserve">  KARTHIK NAIR</t>
  </si>
  <si>
    <t xml:space="preserve">north </t>
  </si>
  <si>
    <t xml:space="preserve">Furniture</t>
  </si>
  <si>
    <t xml:space="preserve">Rs. 12,000</t>
  </si>
  <si>
    <t xml:space="preserve">Paid</t>
  </si>
  <si>
    <t xml:space="preserve">ORD-1002</t>
  </si>
  <si>
    <t xml:space="preserve">2026-09-13</t>
  </si>
  <si>
    <t xml:space="preserve">Aarav Sharma</t>
  </si>
  <si>
    <t xml:space="preserve">Pending</t>
  </si>
  <si>
    <t xml:space="preserve">ORD-1003</t>
  </si>
  <si>
    <t xml:space="preserve">09-Jul-2026</t>
  </si>
  <si>
    <t xml:space="preserve">Sneha Iyer</t>
  </si>
  <si>
    <t xml:space="preserve">Stationery</t>
  </si>
  <si>
    <t xml:space="preserve">Cancelled</t>
  </si>
  <si>
    <t xml:space="preserve">ORD-1004</t>
  </si>
  <si>
    <t xml:space="preserve">29/07/2026</t>
  </si>
  <si>
    <t xml:space="preserve">Imran Khan</t>
  </si>
  <si>
    <t xml:space="preserve">Electronics</t>
  </si>
  <si>
    <t xml:space="preserve">ORD-1005</t>
  </si>
  <si>
    <t xml:space="preserve">2026-09-10</t>
  </si>
  <si>
    <t xml:space="preserve">Rohan Mehta</t>
  </si>
  <si>
    <t xml:space="preserve">ORD-1006</t>
  </si>
  <si>
    <t xml:space="preserve">12-Sep-2026</t>
  </si>
  <si>
    <t xml:space="preserve">Vikram Singh</t>
  </si>
  <si>
    <t xml:space="preserve">south </t>
  </si>
  <si>
    <t xml:space="preserve">ORD-1007</t>
  </si>
  <si>
    <t xml:space="preserve">17/08/2026</t>
  </si>
  <si>
    <t xml:space="preserve">Priya Reddy</t>
  </si>
  <si>
    <t xml:space="preserve">Accessories</t>
  </si>
  <si>
    <t xml:space="preserve">Rs. 1,200</t>
  </si>
  <si>
    <t xml:space="preserve">ORD-1008</t>
  </si>
  <si>
    <t xml:space="preserve">2026-09-26</t>
  </si>
  <si>
    <t xml:space="preserve">Arjun Rao</t>
  </si>
  <si>
    <t xml:space="preserve">WEST</t>
  </si>
  <si>
    <t xml:space="preserve">ORD-1009</t>
  </si>
  <si>
    <t xml:space="preserve">16-Aug-2026</t>
  </si>
  <si>
    <t xml:space="preserve">ORD-1010</t>
  </si>
  <si>
    <t xml:space="preserve">06/09/2026</t>
  </si>
  <si>
    <t xml:space="preserve">  MEERA JOSHI</t>
  </si>
  <si>
    <t xml:space="preserve">ORD-1011</t>
  </si>
  <si>
    <t xml:space="preserve">2026-07-16</t>
  </si>
  <si>
    <t xml:space="preserve">west </t>
  </si>
  <si>
    <t xml:space="preserve">ORD-1012</t>
  </si>
  <si>
    <t xml:space="preserve">23-Aug-2026</t>
  </si>
  <si>
    <t xml:space="preserve">ORD-1013</t>
  </si>
  <si>
    <t xml:space="preserve">13/09/2026</t>
  </si>
  <si>
    <t xml:space="preserve">Meera Joshi</t>
  </si>
  <si>
    <t xml:space="preserve">Rs. 180</t>
  </si>
  <si>
    <t xml:space="preserve">ORD-1014</t>
  </si>
  <si>
    <t xml:space="preserve">2026-07-08</t>
  </si>
  <si>
    <t xml:space="preserve">Neha Gupta</t>
  </si>
  <si>
    <t xml:space="preserve">ORD-1015</t>
  </si>
  <si>
    <t xml:space="preserve">03-Jul-2026</t>
  </si>
  <si>
    <t xml:space="preserve">EAST</t>
  </si>
  <si>
    <t xml:space="preserve">ORD-1016</t>
  </si>
  <si>
    <t xml:space="preserve">08/07/2026</t>
  </si>
  <si>
    <t xml:space="preserve">east </t>
  </si>
  <si>
    <t xml:space="preserve">ORD-1017</t>
  </si>
  <si>
    <t xml:space="preserve">2026-09-02</t>
  </si>
  <si>
    <t xml:space="preserve">ORD-1018</t>
  </si>
  <si>
    <t xml:space="preserve">18-Jul-2026</t>
  </si>
  <si>
    <t xml:space="preserve">Karthik Nair</t>
  </si>
  <si>
    <t xml:space="preserve">ORD-1019</t>
  </si>
  <si>
    <t xml:space="preserve">  PRIYA REDDY</t>
  </si>
  <si>
    <t xml:space="preserve">ORD-1020</t>
  </si>
  <si>
    <t xml:space="preserve">2026-09-01</t>
  </si>
  <si>
    <t xml:space="preserve">Divya Menon</t>
  </si>
  <si>
    <t xml:space="preserve">ORD-1021</t>
  </si>
  <si>
    <t xml:space="preserve">ORD-1022</t>
  </si>
  <si>
    <t xml:space="preserve">28/08/2026</t>
  </si>
  <si>
    <t xml:space="preserve">ORD-1023</t>
  </si>
  <si>
    <t xml:space="preserve">2026-08-31</t>
  </si>
  <si>
    <t xml:space="preserve">ORD-1024</t>
  </si>
  <si>
    <t xml:space="preserve">26-Aug-2026</t>
  </si>
  <si>
    <t xml:space="preserve">ORD-1025</t>
  </si>
  <si>
    <t xml:space="preserve">01/07/2026</t>
  </si>
  <si>
    <t xml:space="preserve">Rs. 22,000</t>
  </si>
  <si>
    <t xml:space="preserve">ORD-1026</t>
  </si>
  <si>
    <t xml:space="preserve">2026-07-10</t>
  </si>
  <si>
    <t xml:space="preserve">ORD-1027</t>
  </si>
  <si>
    <t xml:space="preserve">30-Aug-2026</t>
  </si>
  <si>
    <t xml:space="preserve">ORD-1028</t>
  </si>
  <si>
    <t xml:space="preserve">09/08/2026</t>
  </si>
  <si>
    <t xml:space="preserve">ORD-1029</t>
  </si>
  <si>
    <t xml:space="preserve">2026-09-27</t>
  </si>
  <si>
    <t xml:space="preserve">NORTH</t>
  </si>
  <si>
    <t xml:space="preserve">ORD-1030</t>
  </si>
  <si>
    <t xml:space="preserve">27-Sep-2026</t>
  </si>
  <si>
    <t xml:space="preserve">ORD-1031</t>
  </si>
  <si>
    <t xml:space="preserve">22/07/2026</t>
  </si>
  <si>
    <t xml:space="preserve">Ananya Das</t>
  </si>
  <si>
    <t xml:space="preserve">ORD-1032</t>
  </si>
  <si>
    <t xml:space="preserve">2026-07-31</t>
  </si>
  <si>
    <t xml:space="preserve">ORD-1033</t>
  </si>
  <si>
    <t xml:space="preserve">04-Jul-2026</t>
  </si>
  <si>
    <t xml:space="preserve">ORD-1034</t>
  </si>
  <si>
    <t xml:space="preserve">27/08/2026</t>
  </si>
  <si>
    <t xml:space="preserve">ORD-1035</t>
  </si>
  <si>
    <t xml:space="preserve">2026-07-30</t>
  </si>
  <si>
    <t xml:space="preserve">ORD-1036</t>
  </si>
  <si>
    <t xml:space="preserve">31-Aug-2026</t>
  </si>
  <si>
    <t xml:space="preserve">ORD-1037</t>
  </si>
  <si>
    <t xml:space="preserve">31/08/2026</t>
  </si>
  <si>
    <t xml:space="preserve">  ROHAN MEHTA</t>
  </si>
  <si>
    <t xml:space="preserve">ORD-1038</t>
  </si>
  <si>
    <t xml:space="preserve">2026-08-21</t>
  </si>
  <si>
    <t xml:space="preserve">ORD-1039</t>
  </si>
  <si>
    <t xml:space="preserve">20-Jul-2026</t>
  </si>
  <si>
    <t xml:space="preserve">ORD-1040</t>
  </si>
  <si>
    <t xml:space="preserve">23/09/2026</t>
  </si>
  <si>
    <t xml:space="preserve">Sample data created for this exercise. It deliberately contains typical problems: duplicates, blanks, mixed date formats, inconsistent text case/spaces, text in numeric columns and a negative quantity.</t>
  </si>
  <si>
    <t xml:space="preserve">Data Cleaning Log</t>
  </si>
  <si>
    <t xml:space="preserve">Issue found</t>
  </si>
  <si>
    <t xml:space="preserve">Rows affected</t>
  </si>
  <si>
    <t xml:space="preserve">Action taken</t>
  </si>
  <si>
    <t xml:space="preserve">Excel method (to repeat manually)</t>
  </si>
  <si>
    <t xml:space="preserve">Exact duplicate orders</t>
  </si>
  <si>
    <t xml:space="preserve">Removed repeat rows, kept first occurrence.</t>
  </si>
  <si>
    <t xml:space="preserve">Data ▸ Remove Duplicates (all columns)</t>
  </si>
  <si>
    <t xml:space="preserve">Mixed date formats stored as text (dd/mm/yyyy, yyyy-mm-dd, dd-Mon-yyyy)</t>
  </si>
  <si>
    <t xml:space="preserve">Converted every date to a true Excel date, displayed as dd-mmm-yyyy.</t>
  </si>
  <si>
    <t xml:space="preserve">Text to Columns / DATEVALUE; Format Cells</t>
  </si>
  <si>
    <t xml:space="preserve">Region: inconsistent case &amp; trailing spaces</t>
  </si>
  <si>
    <t xml:space="preserve">Standardised to Title Case with spaces trimmed (North, South, East, West).</t>
  </si>
  <si>
    <t xml:space="preserve">Use =PROPER(TRIM(D2))</t>
  </si>
  <si>
    <t xml:space="preserve">Region: blank values</t>
  </si>
  <si>
    <t xml:space="preserve">Labelled 'Unspecified' instead of guessing.</t>
  </si>
  <si>
    <t xml:space="preserve">Find &amp; Select ▸ Go To Special ▸ Blanks</t>
  </si>
  <si>
    <t xml:space="preserve">Customer names: extra spaces / UPPERCASE</t>
  </si>
  <si>
    <t xml:space="preserve">Trimmed and converted to Proper Case.</t>
  </si>
  <si>
    <t xml:space="preserve">Use =PROPER(TRIM(C2))</t>
  </si>
  <si>
    <t xml:space="preserve">Unit Price stored as text ('Rs. 55,000')</t>
  </si>
  <si>
    <t xml:space="preserve">Removed currency text and converted to numbers.</t>
  </si>
  <si>
    <t xml:space="preserve">Find &amp; Replace 'Rs.' and ','; Convert to Number</t>
  </si>
  <si>
    <t xml:space="preserve">Quantity: blank values</t>
  </si>
  <si>
    <t xml:space="preserve">Filled with the median quantity (5) – robust to outliers.</t>
  </si>
  <si>
    <t xml:space="preserve">Use =MEDIAN(range), then paste into the blanks</t>
  </si>
  <si>
    <t xml:space="preserve">Quantity: negative value (entry error)</t>
  </si>
  <si>
    <t xml:space="preserve">Converted to positive using ABS (sign error assumed).</t>
  </si>
  <si>
    <t xml:space="preserve">Use =ABS(G2)</t>
  </si>
  <si>
    <t xml:space="preserve">Discount %: blank value</t>
  </si>
  <si>
    <t xml:space="preserve">Treated as 0% discount.</t>
  </si>
  <si>
    <t xml:space="preserve">Replace blanks with 0</t>
  </si>
  <si>
    <t xml:space="preserve">Rows in raw data</t>
  </si>
  <si>
    <t xml:space="preserve">Rows in clean data</t>
  </si>
  <si>
    <t xml:space="preserve">Rows removed</t>
  </si>
  <si>
    <t xml:space="preserve">Assumptions: duplicates are rows identical in every column; negative quantity is a sign error; blank quantity imputed with the median; blank region left as 'Unspecified'. A real project would confirm these with the data owner.</t>
  </si>
  <si>
    <t xml:space="preserve">Revenue = Quantity × Unit Price × (1 − Discount). Cancelled orders are kept in the data but excluded from revenue KPIs in 6_KPI_Report.</t>
  </si>
  <si>
    <t xml:space="preserve">Descriptive Statistics (all formulas, based on 4_Clean_Data)</t>
  </si>
  <si>
    <t xml:space="preserve">Statistic</t>
  </si>
  <si>
    <t xml:space="preserve">How to read it</t>
  </si>
  <si>
    <t xml:space="preserve">Count</t>
  </si>
  <si>
    <t xml:space="preserve">Number of values</t>
  </si>
  <si>
    <t xml:space="preserve">Mean</t>
  </si>
  <si>
    <t xml:space="preserve">Average – sensitive to outliers</t>
  </si>
  <si>
    <t xml:space="preserve">Median</t>
  </si>
  <si>
    <t xml:space="preserve">Middle value – robust to outliers</t>
  </si>
  <si>
    <t xml:space="preserve">Mode</t>
  </si>
  <si>
    <t xml:space="preserve">Most frequent value</t>
  </si>
  <si>
    <t xml:space="preserve">Std Deviation</t>
  </si>
  <si>
    <t xml:space="preserve">Typical spread around the mean</t>
  </si>
  <si>
    <t xml:space="preserve">Variance</t>
  </si>
  <si>
    <t xml:space="preserve">Std deviation squared</t>
  </si>
  <si>
    <t xml:space="preserve">Minimum</t>
  </si>
  <si>
    <t xml:space="preserve">Smallest value</t>
  </si>
  <si>
    <t xml:space="preserve">Q1 (25th pct)</t>
  </si>
  <si>
    <t xml:space="preserve">25% of values fall below this</t>
  </si>
  <si>
    <t xml:space="preserve">Q3 (75th pct)</t>
  </si>
  <si>
    <t xml:space="preserve">75% of values fall below this</t>
  </si>
  <si>
    <t xml:space="preserve">Maximum</t>
  </si>
  <si>
    <t xml:space="preserve">Largest value</t>
  </si>
  <si>
    <t xml:space="preserve">Range</t>
  </si>
  <si>
    <t xml:space="preserve">Max − Min</t>
  </si>
  <si>
    <t xml:space="preserve">IQR</t>
  </si>
  <si>
    <t xml:space="preserve">Spread of the middle 50%</t>
  </si>
  <si>
    <t xml:space="preserve">Coeff. of Variation</t>
  </si>
  <si>
    <t xml:space="preserve">Std dev ÷ mean; compares spread across columns</t>
  </si>
  <si>
    <t xml:space="preserve">Interpretation</t>
  </si>
  <si>
    <t xml:space="preserve">KPI Report – Sales Performance, Jul–Sep 2026</t>
  </si>
  <si>
    <t xml:space="preserve">Revenue KPIs exclude Cancelled orders. All figures are live formulas.</t>
  </si>
  <si>
    <t xml:space="preserve">KPI</t>
  </si>
  <si>
    <t xml:space="preserve">Value</t>
  </si>
  <si>
    <t xml:space="preserve">Definition</t>
  </si>
  <si>
    <t xml:space="preserve">Total Orders</t>
  </si>
  <si>
    <t xml:space="preserve">All orders after cleaning</t>
  </si>
  <si>
    <t xml:space="preserve">Valid Orders (not cancelled)</t>
  </si>
  <si>
    <t xml:space="preserve">Orders counted toward revenue</t>
  </si>
  <si>
    <t xml:space="preserve">Sum of revenue, cancelled excluded</t>
  </si>
  <si>
    <t xml:space="preserve">Average Order Value (₹)</t>
  </si>
  <si>
    <t xml:space="preserve">Total revenue ÷ valid orders</t>
  </si>
  <si>
    <t xml:space="preserve">Total quantity, cancelled excluded</t>
  </si>
  <si>
    <t xml:space="preserve">Average Discount</t>
  </si>
  <si>
    <t xml:space="preserve">Mean discount on valid orders</t>
  </si>
  <si>
    <t xml:space="preserve">Cancelled ÷ total orders</t>
  </si>
  <si>
    <t xml:space="preserve">Revenue Lost to Cancellations (₹)</t>
  </si>
  <si>
    <t xml:space="preserve">Revenue that would have been earned</t>
  </si>
  <si>
    <t xml:space="preserve">Collected Revenue (₹)</t>
  </si>
  <si>
    <t xml:space="preserve">Revenue on Paid orders only</t>
  </si>
  <si>
    <t xml:space="preserve">Payment Collection Rate</t>
  </si>
  <si>
    <t xml:space="preserve">Collected ÷ total revenue</t>
  </si>
  <si>
    <t xml:space="preserve">Revenue by Region (excl. cancelled)</t>
  </si>
  <si>
    <t xml:space="preserve">Share of Revenue</t>
  </si>
  <si>
    <t xml:space="preserve">Revenue by Category (excl. cancelled)</t>
  </si>
  <si>
    <t xml:space="preserve">Top Category</t>
  </si>
  <si>
    <t xml:space="preserve">Key Insights &amp; Recommendations</t>
  </si>
  <si>
    <t xml:space="preserve">5. Revenue is concentrated in high-ticket categories (Electronics, Furniture), so protecting those lines matters most; run targeted promotions for low-value categories to lift volume.</t>
  </si>
  <si>
    <t xml:space="preserve">Analyst Roles, Tools and Career Paths</t>
  </si>
  <si>
    <t xml:space="preserve">Role</t>
  </si>
  <si>
    <t xml:space="preserve">What they do</t>
  </si>
  <si>
    <t xml:space="preserve">Core tools</t>
  </si>
  <si>
    <t xml:space="preserve">Key skills</t>
  </si>
  <si>
    <t xml:space="preserve">Typical next step</t>
  </si>
  <si>
    <t xml:space="preserve">Data Analyst</t>
  </si>
  <si>
    <t xml:space="preserve">Cleans data, builds reports and dashboards, answers business questions.</t>
  </si>
  <si>
    <t xml:space="preserve">Excel, SQL, Power BI/Tableau, basic Python</t>
  </si>
  <si>
    <t xml:space="preserve">Data cleaning, statistics, visualisation, communication</t>
  </si>
  <si>
    <t xml:space="preserve">Senior Analyst, Analytics Manager, Data Scientist</t>
  </si>
  <si>
    <t xml:space="preserve">Business Analyst</t>
  </si>
  <si>
    <t xml:space="preserve">Bridges business needs and data; defines requirements, KPIs and process improvements.</t>
  </si>
  <si>
    <t xml:space="preserve">Excel, SQL, Power BI, JIRA, process mapping</t>
  </si>
  <si>
    <t xml:space="preserve">Stakeholder management, requirement gathering, KPI design</t>
  </si>
  <si>
    <t xml:space="preserve">Product Manager, Strategy / Consulting</t>
  </si>
  <si>
    <t xml:space="preserve">BI Analyst / Developer</t>
  </si>
  <si>
    <t xml:space="preserve">Designs and maintains dashboards and data models for the whole company.</t>
  </si>
  <si>
    <t xml:space="preserve">Power BI, Tableau, DAX, SQL, ETL tools</t>
  </si>
  <si>
    <t xml:space="preserve">Data modelling, DAX, dashboard design, performance tuning</t>
  </si>
  <si>
    <t xml:space="preserve">BI Architect, Analytics Engineer</t>
  </si>
  <si>
    <t xml:space="preserve">Data Scientist</t>
  </si>
  <si>
    <t xml:space="preserve">Builds predictive models and runs experiments to forecast and automate decisions.</t>
  </si>
  <si>
    <t xml:space="preserve">Python, R, scikit-learn, SQL, Jupyter</t>
  </si>
  <si>
    <t xml:space="preserve">Statistics, machine learning, experimentation</t>
  </si>
  <si>
    <t xml:space="preserve">Senior / Lead Data Scientist, ML Engineer</t>
  </si>
  <si>
    <t xml:space="preserve">Data Engineer</t>
  </si>
  <si>
    <t xml:space="preserve">Builds pipelines and warehouses that deliver reliable data to analysts.</t>
  </si>
  <si>
    <t xml:space="preserve">SQL, Python, Spark, Airflow, cloud (AWS/Azure/GCP)</t>
  </si>
  <si>
    <t xml:space="preserve">Databases, ETL/ELT, cloud, software engineering</t>
  </si>
  <si>
    <t xml:space="preserve">Senior Data / Platform Engineer, Architect</t>
  </si>
  <si>
    <t xml:space="preserve">Suggested learning path (matches this internship)</t>
  </si>
  <si>
    <t xml:space="preserve">Week 1: Excel + descriptive statistics + KPIs</t>
  </si>
  <si>
    <t xml:space="preserve">Week 2: SQL (joins, subqueries, window functions)</t>
  </si>
  <si>
    <t xml:space="preserve">Week 3: Python (Pandas, NumPy, Matplotlib, Seaborn)</t>
  </si>
  <si>
    <t xml:space="preserve">Week 4: Power BI (Power Query, DAX, dashboards)</t>
  </si>
  <si>
    <t xml:space="preserve">Next: portfolio of 3–4 projects, then Data Analyst / BI Analyst roles; add statistics &amp; ML for Data Scientist track.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</si>
</sst>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dd\-mmm\-yyyy"/>
    <numFmt numFmtId="168" formatCode="0%"/>
    <numFmt numFmtId="169" formatCode="mmm\-yyyy"/>
    <numFmt numFmtId="170" formatCode="#,##0.00"/>
    <numFmt numFmtId="171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Dashboard!B10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Dashboard!$A$11:$A$13</c:f>
              <c:strCache>
                <c:ptCount val="3"/>
                <c:pt idx="0">
                  <c:v>Jul 2026</c:v>
                </c:pt>
                <c:pt idx="1">
                  <c:v>Aug 2026</c:v>
                </c:pt>
                <c:pt idx="2">
                  <c:v>Sep 2026</c:v>
                </c:pt>
              </c:strCache>
            </c:strRef>
          </c:cat>
          <c:val>
            <c:numRef>
              <c:f>Dashboard!$B$11:$B$13</c:f>
              <c:numCache>
                <c:formatCode>#,##0</c:formatCode>
                <c:ptCount val="3"/>
                <c:pt idx="0">
                  <c:v>879595</c:v>
                </c:pt>
                <c:pt idx="1">
                  <c:v>742048</c:v>
                </c:pt>
                <c:pt idx="2">
                  <c:v>287244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40388484"/>
        <c:axId val="89518842"/>
      </c:lineChart>
      <c:catAx>
        <c:axId val="403884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18842"/>
        <c:crosses val="autoZero"/>
        <c:auto val="1"/>
        <c:lblAlgn val="ctr"/>
        <c:lblOffset val="100"/>
        <c:noMultiLvlLbl val="0"/>
      </c:catAx>
      <c:valAx>
        <c:axId val="895188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884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Dashboard!B16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Dashboard!$A$17:$A$24</c:f>
              <c:strCache>
                <c:ptCount val="8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Keyboard</c:v>
                </c:pt>
                <c:pt idx="4">
                  <c:v>Office Chair</c:v>
                </c:pt>
                <c:pt idx="5">
                  <c:v>Desk</c:v>
                </c:pt>
                <c:pt idx="6">
                  <c:v>Notebook Pack</c:v>
                </c:pt>
                <c:pt idx="7">
                  <c:v>Pen Set</c:v>
                </c:pt>
              </c:strCache>
            </c:strRef>
          </c:cat>
          <c:val>
            <c:numRef>
              <c:f>Dashboard!$B$17:$B$24</c:f>
              <c:numCache>
                <c:formatCode>#,##0</c:formatCode>
                <c:ptCount val="8"/>
                <c:pt idx="0">
                  <c:v>874500</c:v>
                </c:pt>
                <c:pt idx="1">
                  <c:v>625900</c:v>
                </c:pt>
                <c:pt idx="2">
                  <c:v>12500</c:v>
                </c:pt>
                <c:pt idx="3">
                  <c:v>22020</c:v>
                </c:pt>
                <c:pt idx="4">
                  <c:v>56525</c:v>
                </c:pt>
                <c:pt idx="5">
                  <c:v>312600</c:v>
                </c:pt>
                <c:pt idx="6">
                  <c:v>0</c:v>
                </c:pt>
                <c:pt idx="7">
                  <c:v>4842</c:v>
                </c:pt>
              </c:numCache>
            </c:numRef>
          </c:val>
        </c:ser>
        <c:gapWidth val="150"/>
        <c:overlap val="0"/>
        <c:axId val="91993966"/>
        <c:axId val="36280602"/>
      </c:barChart>
      <c:catAx>
        <c:axId val="919939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280602"/>
        <c:crosses val="autoZero"/>
        <c:auto val="1"/>
        <c:lblAlgn val="ctr"/>
        <c:lblOffset val="100"/>
        <c:noMultiLvlLbl val="0"/>
      </c:catAx>
      <c:valAx>
        <c:axId val="362806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939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Dashboard!B28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Dashboard!$A$29:$A$33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Unspecified</c:v>
                </c:pt>
              </c:strCache>
            </c:strRef>
          </c:cat>
          <c:val>
            <c:numRef>
              <c:f>Dashboard!$B$29:$B$33</c:f>
              <c:numCache>
                <c:formatCode>#,##0</c:formatCode>
                <c:ptCount val="5"/>
                <c:pt idx="0">
                  <c:v>127934</c:v>
                </c:pt>
                <c:pt idx="1">
                  <c:v>414712</c:v>
                </c:pt>
                <c:pt idx="2">
                  <c:v>528065</c:v>
                </c:pt>
                <c:pt idx="3">
                  <c:v>683150</c:v>
                </c:pt>
                <c:pt idx="4">
                  <c:v>155026</c:v>
                </c:pt>
              </c:numCache>
            </c:numRef>
          </c:val>
        </c:ser>
        <c:gapWidth val="150"/>
        <c:overlap val="0"/>
        <c:axId val="56327177"/>
        <c:axId val="71833428"/>
      </c:barChart>
      <c:catAx>
        <c:axId val="563271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33428"/>
        <c:crosses val="autoZero"/>
        <c:auto val="1"/>
        <c:lblAlgn val="ctr"/>
        <c:lblOffset val="100"/>
        <c:noMultiLvlLbl val="0"/>
      </c:catAx>
      <c:valAx>
        <c:axId val="718334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3271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6_KPI_Report!B17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6_KPI_Report!$A$18:$A$21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6_KPI_Report!$B$18:$B$21</c:f>
              <c:numCache>
                <c:formatCode>#,##0</c:formatCode>
                <c:ptCount val="4"/>
                <c:pt idx="0">
                  <c:v>127934</c:v>
                </c:pt>
                <c:pt idx="1">
                  <c:v>414712</c:v>
                </c:pt>
                <c:pt idx="2">
                  <c:v>528065</c:v>
                </c:pt>
                <c:pt idx="3">
                  <c:v>683150</c:v>
                </c:pt>
              </c:numCache>
            </c:numRef>
          </c:val>
        </c:ser>
        <c:gapWidth val="150"/>
        <c:overlap val="0"/>
        <c:axId val="27964540"/>
        <c:axId val="57839381"/>
      </c:barChart>
      <c:catAx>
        <c:axId val="279645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839381"/>
        <c:crosses val="autoZero"/>
        <c:auto val="1"/>
        <c:lblAlgn val="ctr"/>
        <c:lblOffset val="100"/>
        <c:noMultiLvlLbl val="0"/>
      </c:catAx>
      <c:valAx>
        <c:axId val="578393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645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7</xdr:row>
      <xdr:rowOff>130680</xdr:rowOff>
    </xdr:from>
    <xdr:to>
      <xdr:col>12</xdr:col>
      <xdr:colOff>86760</xdr:colOff>
      <xdr:row>19</xdr:row>
      <xdr:rowOff>76320</xdr:rowOff>
    </xdr:to>
    <xdr:graphicFrame>
      <xdr:nvGraphicFramePr>
        <xdr:cNvPr id="0" name="Chart 1"/>
        <xdr:cNvGraphicFramePr/>
      </xdr:nvGraphicFramePr>
      <xdr:xfrm>
        <a:off x="5920920" y="1876320"/>
        <a:ext cx="5399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130680</xdr:rowOff>
    </xdr:from>
    <xdr:to>
      <xdr:col>12</xdr:col>
      <xdr:colOff>86760</xdr:colOff>
      <xdr:row>33</xdr:row>
      <xdr:rowOff>101880</xdr:rowOff>
    </xdr:to>
    <xdr:graphicFrame>
      <xdr:nvGraphicFramePr>
        <xdr:cNvPr id="1" name="Chart 2"/>
        <xdr:cNvGraphicFramePr/>
      </xdr:nvGraphicFramePr>
      <xdr:xfrm>
        <a:off x="5920920" y="4352760"/>
        <a:ext cx="5399640" cy="24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34</xdr:row>
      <xdr:rowOff>131040</xdr:rowOff>
    </xdr:from>
    <xdr:to>
      <xdr:col>12</xdr:col>
      <xdr:colOff>86760</xdr:colOff>
      <xdr:row>41</xdr:row>
      <xdr:rowOff>360</xdr:rowOff>
    </xdr:to>
    <xdr:graphicFrame>
      <xdr:nvGraphicFramePr>
        <xdr:cNvPr id="2" name="Chart 3"/>
        <xdr:cNvGraphicFramePr/>
      </xdr:nvGraphicFramePr>
      <xdr:xfrm>
        <a:off x="5920920" y="7020000"/>
        <a:ext cx="5399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160920</xdr:rowOff>
    </xdr:from>
    <xdr:to>
      <xdr:col>10</xdr:col>
      <xdr:colOff>260280</xdr:colOff>
      <xdr:row>17</xdr:row>
      <xdr:rowOff>2880</xdr:rowOff>
    </xdr:to>
    <xdr:graphicFrame>
      <xdr:nvGraphicFramePr>
        <xdr:cNvPr id="3" name="Chart 1"/>
        <xdr:cNvGraphicFramePr/>
      </xdr:nvGraphicFramePr>
      <xdr:xfrm>
        <a:off x="6907680" y="5716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7" min="5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s">
        <v>3</v>
      </c>
      <c r="D3" s="2" t="s">
        <v>4</v>
      </c>
      <c r="F3" s="2" t="str">
        <f aca="false">IF(B3="All","*",B3)</f>
        <v>*</v>
      </c>
    </row>
    <row r="4" customFormat="false" ht="15" hidden="false" customHeight="false" outlineLevel="0" collapsed="false">
      <c r="A4" s="3" t="s">
        <v>5</v>
      </c>
      <c r="B4" s="4" t="s">
        <v>3</v>
      </c>
      <c r="F4" s="2" t="str">
        <f aca="false">IF(B4="All","*",B4)</f>
        <v>*</v>
      </c>
    </row>
    <row r="6" customFormat="false" ht="30" hidden="false" customHeight="true" outlineLevel="0" collapsed="false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</row>
    <row r="7" customFormat="false" ht="27.75" hidden="false" customHeight="true" outlineLevel="0" collapsed="false">
      <c r="A7" s="6" t="n">
        <f aca="false">SUMIFS(4_Clean_Data!$K$2:$K$41,4_Clean_Data!$D$2:$D$41,$F$3,4_Clean_Data!$F$2:$F$41,$F$4,4_Clean_Data!$J$2:$J$41,"&lt;&gt;Cancelled")</f>
        <v>1908887</v>
      </c>
      <c r="B7" s="6" t="n">
        <f aca="false">COUNTIFS(4_Clean_Data!$D$2:$D$41,$F$3,4_Clean_Data!$F$2:$F$41,$F$4,4_Clean_Data!$J$2:$J$41,"&lt;&gt;Cancelled")</f>
        <v>30</v>
      </c>
      <c r="C7" s="6" t="n">
        <f aca="false">IFERROR(A7/B7,0)</f>
        <v>63629.5666666667</v>
      </c>
      <c r="D7" s="6" t="n">
        <f aca="false">SUMIFS(4_Clean_Data!$G$2:$G$41,4_Clean_Data!$D$2:$D$41,$F$3,4_Clean_Data!$F$2:$F$41,$F$4,4_Clean_Data!$J$2:$J$41,"&lt;&gt;Cancelled")</f>
        <v>134</v>
      </c>
      <c r="E7" s="7" t="n">
        <f aca="false">IFERROR(COUNTIFS(4_Clean_Data!$D$2:$D$41,$F$3,4_Clean_Data!$F$2:$F$41,$F$4,4_Clean_Data!$J$2:$J$41,"Cancelled")/COUNTIFS(4_Clean_Data!$D$2:$D$41,$F$3,4_Clean_Data!$F$2:$F$41,$F$4),0)</f>
        <v>0.25</v>
      </c>
      <c r="F7" s="8" t="str">
        <f aca="false">IF(MAX(B17:B24)=0,"-",INDEX(A17:A24,MATCH(MAX(B17:B24),B17:B24,0)))</f>
        <v>Laptop</v>
      </c>
      <c r="G7" s="8" t="str">
        <f aca="false">IF(MAX(B29:B33)=0,"-",INDEX(A29:A33,MATCH(MAX(B29:B33),B29:B33,0)))</f>
        <v>West</v>
      </c>
    </row>
    <row r="9" customFormat="false" ht="15" hidden="false" customHeight="false" outlineLevel="0" collapsed="false">
      <c r="A9" s="3" t="s">
        <v>13</v>
      </c>
    </row>
    <row r="10" customFormat="false" ht="15" hidden="false" customHeight="false" outlineLevel="0" collapsed="false">
      <c r="A10" s="5" t="s">
        <v>14</v>
      </c>
      <c r="B10" s="5" t="s">
        <v>15</v>
      </c>
      <c r="C10" s="5" t="s">
        <v>16</v>
      </c>
      <c r="D10" s="5" t="s">
        <v>17</v>
      </c>
    </row>
    <row r="11" customFormat="false" ht="15" hidden="false" customHeight="false" outlineLevel="0" collapsed="false">
      <c r="A11" s="9" t="s">
        <v>18</v>
      </c>
      <c r="B11" s="10" t="n">
        <f aca="false">SUMIFS(4_Clean_Data!$K$2:$K$41,4_Clean_Data!$L$2:$L$41,$D11,4_Clean_Data!$D$2:$D$41,$F$3,4_Clean_Data!$F$2:$F$41,$F$4,4_Clean_Data!$J$2:$J$41,"&lt;&gt;Cancelled")</f>
        <v>879595</v>
      </c>
      <c r="C11" s="9" t="n">
        <f aca="false">COUNTIFS(4_Clean_Data!$L$2:$L$41,$D11,4_Clean_Data!$D$2:$D$41,$F$3,4_Clean_Data!$F$2:$F$41,$F$4,4_Clean_Data!$J$2:$J$41,"&lt;&gt;Cancelled")</f>
        <v>12</v>
      </c>
      <c r="D11" s="11" t="n">
        <v>46204</v>
      </c>
    </row>
    <row r="12" customFormat="false" ht="15" hidden="false" customHeight="false" outlineLevel="0" collapsed="false">
      <c r="A12" s="9" t="s">
        <v>19</v>
      </c>
      <c r="B12" s="10" t="n">
        <f aca="false">SUMIFS(4_Clean_Data!$K$2:$K$41,4_Clean_Data!$L$2:$L$41,$D12,4_Clean_Data!$D$2:$D$41,$F$3,4_Clean_Data!$F$2:$F$41,$F$4,4_Clean_Data!$J$2:$J$41,"&lt;&gt;Cancelled")</f>
        <v>742048</v>
      </c>
      <c r="C12" s="9" t="n">
        <f aca="false">COUNTIFS(4_Clean_Data!$L$2:$L$41,$D12,4_Clean_Data!$D$2:$D$41,$F$3,4_Clean_Data!$F$2:$F$41,$F$4,4_Clean_Data!$J$2:$J$41,"&lt;&gt;Cancelled")</f>
        <v>12</v>
      </c>
      <c r="D12" s="11" t="n">
        <v>46235</v>
      </c>
    </row>
    <row r="13" customFormat="false" ht="15" hidden="false" customHeight="false" outlineLevel="0" collapsed="false">
      <c r="A13" s="9" t="s">
        <v>20</v>
      </c>
      <c r="B13" s="10" t="n">
        <f aca="false">SUMIFS(4_Clean_Data!$K$2:$K$41,4_Clean_Data!$L$2:$L$41,$D13,4_Clean_Data!$D$2:$D$41,$F$3,4_Clean_Data!$F$2:$F$41,$F$4,4_Clean_Data!$J$2:$J$41,"&lt;&gt;Cancelled")</f>
        <v>287244</v>
      </c>
      <c r="C13" s="9" t="n">
        <f aca="false">COUNTIFS(4_Clean_Data!$L$2:$L$41,$D13,4_Clean_Data!$D$2:$D$41,$F$3,4_Clean_Data!$F$2:$F$41,$F$4,4_Clean_Data!$J$2:$J$41,"&lt;&gt;Cancelled")</f>
        <v>6</v>
      </c>
      <c r="D13" s="11" t="n">
        <v>46266</v>
      </c>
    </row>
    <row r="14" customFormat="false" ht="15" hidden="false" customHeight="false" outlineLevel="0" collapsed="false">
      <c r="A14" s="12" t="s">
        <v>21</v>
      </c>
      <c r="B14" s="13" t="n">
        <f aca="false">IFERROR(B13/B12-1,0)</f>
        <v>-0.612903747466471</v>
      </c>
    </row>
    <row r="15" customFormat="false" ht="15" hidden="false" customHeight="false" outlineLevel="0" collapsed="false">
      <c r="A15" s="3" t="s">
        <v>22</v>
      </c>
    </row>
    <row r="16" customFormat="false" ht="15" hidden="false" customHeight="false" outlineLevel="0" collapsed="false">
      <c r="A16" s="5" t="s">
        <v>23</v>
      </c>
      <c r="B16" s="5" t="s">
        <v>15</v>
      </c>
      <c r="C16" s="5" t="s">
        <v>9</v>
      </c>
      <c r="D16" s="5" t="s">
        <v>24</v>
      </c>
    </row>
    <row r="17" customFormat="false" ht="15" hidden="false" customHeight="false" outlineLevel="0" collapsed="false">
      <c r="A17" s="9" t="s">
        <v>25</v>
      </c>
      <c r="B17" s="10" t="n">
        <f aca="false">SUMIFS(4_Clean_Data!$K$2:$K$41,4_Clean_Data!$E$2:$E$41,$A17,4_Clean_Data!$D$2:$D$41,$F$3,4_Clean_Data!$F$2:$F$41,$F$4,4_Clean_Data!$J$2:$J$41,"&lt;&gt;Cancelled")</f>
        <v>874500</v>
      </c>
      <c r="C17" s="9" t="n">
        <f aca="false">SUMIFS(4_Clean_Data!$G$2:$G$41,4_Clean_Data!$E$2:$E$41,$A17,4_Clean_Data!$D$2:$D$41,$F$3,4_Clean_Data!$F$2:$F$41,$F$4,4_Clean_Data!$J$2:$J$41,"&lt;&gt;Cancelled")</f>
        <v>17</v>
      </c>
      <c r="D17" s="9" t="n">
        <f aca="false">RANK(B17,$B$17:$B$24)</f>
        <v>1</v>
      </c>
    </row>
    <row r="18" customFormat="false" ht="15" hidden="false" customHeight="false" outlineLevel="0" collapsed="false">
      <c r="A18" s="9" t="s">
        <v>26</v>
      </c>
      <c r="B18" s="10" t="n">
        <f aca="false">SUMIFS(4_Clean_Data!$K$2:$K$41,4_Clean_Data!$E$2:$E$41,$A18,4_Clean_Data!$D$2:$D$41,$F$3,4_Clean_Data!$F$2:$F$41,$F$4,4_Clean_Data!$J$2:$J$41,"&lt;&gt;Cancelled")</f>
        <v>625900</v>
      </c>
      <c r="C18" s="9" t="n">
        <f aca="false">SUMIFS(4_Clean_Data!$G$2:$G$41,4_Clean_Data!$E$2:$E$41,$A18,4_Clean_Data!$D$2:$D$41,$F$3,4_Clean_Data!$F$2:$F$41,$F$4,4_Clean_Data!$J$2:$J$41,"&lt;&gt;Cancelled")</f>
        <v>29</v>
      </c>
      <c r="D18" s="9" t="n">
        <f aca="false">RANK(B18,$B$17:$B$24)</f>
        <v>2</v>
      </c>
    </row>
    <row r="19" customFormat="false" ht="15" hidden="false" customHeight="false" outlineLevel="0" collapsed="false">
      <c r="A19" s="9" t="s">
        <v>27</v>
      </c>
      <c r="B19" s="10" t="n">
        <f aca="false">SUMIFS(4_Clean_Data!$K$2:$K$41,4_Clean_Data!$E$2:$E$41,$A19,4_Clean_Data!$D$2:$D$41,$F$3,4_Clean_Data!$F$2:$F$41,$F$4,4_Clean_Data!$J$2:$J$41,"&lt;&gt;Cancelled")</f>
        <v>12500</v>
      </c>
      <c r="C19" s="9" t="n">
        <f aca="false">SUMIFS(4_Clean_Data!$G$2:$G$41,4_Clean_Data!$E$2:$E$41,$A19,4_Clean_Data!$D$2:$D$41,$F$3,4_Clean_Data!$F$2:$F$41,$F$4,4_Clean_Data!$J$2:$J$41,"&lt;&gt;Cancelled")</f>
        <v>5</v>
      </c>
      <c r="D19" s="9" t="n">
        <f aca="false">RANK(B19,$B$17:$B$24)</f>
        <v>6</v>
      </c>
    </row>
    <row r="20" customFormat="false" ht="15" hidden="false" customHeight="false" outlineLevel="0" collapsed="false">
      <c r="A20" s="9" t="s">
        <v>28</v>
      </c>
      <c r="B20" s="10" t="n">
        <f aca="false">SUMIFS(4_Clean_Data!$K$2:$K$41,4_Clean_Data!$E$2:$E$41,$A20,4_Clean_Data!$D$2:$D$41,$F$3,4_Clean_Data!$F$2:$F$41,$F$4,4_Clean_Data!$J$2:$J$41,"&lt;&gt;Cancelled")</f>
        <v>22020</v>
      </c>
      <c r="C20" s="9" t="n">
        <f aca="false">SUMIFS(4_Clean_Data!$G$2:$G$41,4_Clean_Data!$E$2:$E$41,$A20,4_Clean_Data!$D$2:$D$41,$F$3,4_Clean_Data!$F$2:$F$41,$F$4,4_Clean_Data!$J$2:$J$41,"&lt;&gt;Cancelled")</f>
        <v>20</v>
      </c>
      <c r="D20" s="9" t="n">
        <f aca="false">RANK(B20,$B$17:$B$24)</f>
        <v>5</v>
      </c>
    </row>
    <row r="21" customFormat="false" ht="15" hidden="false" customHeight="false" outlineLevel="0" collapsed="false">
      <c r="A21" s="9" t="s">
        <v>29</v>
      </c>
      <c r="B21" s="10" t="n">
        <f aca="false">SUMIFS(4_Clean_Data!$K$2:$K$41,4_Clean_Data!$E$2:$E$41,$A21,4_Clean_Data!$D$2:$D$41,$F$3,4_Clean_Data!$F$2:$F$41,$F$4,4_Clean_Data!$J$2:$J$41,"&lt;&gt;Cancelled")</f>
        <v>56525</v>
      </c>
      <c r="C21" s="9" t="n">
        <f aca="false">SUMIFS(4_Clean_Data!$G$2:$G$41,4_Clean_Data!$E$2:$E$41,$A21,4_Clean_Data!$D$2:$D$41,$F$3,4_Clean_Data!$F$2:$F$41,$F$4,4_Clean_Data!$J$2:$J$41,"&lt;&gt;Cancelled")</f>
        <v>7</v>
      </c>
      <c r="D21" s="9" t="n">
        <f aca="false">RANK(B21,$B$17:$B$24)</f>
        <v>4</v>
      </c>
    </row>
    <row r="22" customFormat="false" ht="15" hidden="false" customHeight="false" outlineLevel="0" collapsed="false">
      <c r="A22" s="9" t="s">
        <v>30</v>
      </c>
      <c r="B22" s="10" t="n">
        <f aca="false">SUMIFS(4_Clean_Data!$K$2:$K$41,4_Clean_Data!$E$2:$E$41,$A22,4_Clean_Data!$D$2:$D$41,$F$3,4_Clean_Data!$F$2:$F$41,$F$4,4_Clean_Data!$J$2:$J$41,"&lt;&gt;Cancelled")</f>
        <v>312600</v>
      </c>
      <c r="C22" s="9" t="n">
        <f aca="false">SUMIFS(4_Clean_Data!$G$2:$G$41,4_Clean_Data!$E$2:$E$41,$A22,4_Clean_Data!$D$2:$D$41,$F$3,4_Clean_Data!$F$2:$F$41,$F$4,4_Clean_Data!$J$2:$J$41,"&lt;&gt;Cancelled")</f>
        <v>28</v>
      </c>
      <c r="D22" s="9" t="n">
        <f aca="false">RANK(B22,$B$17:$B$24)</f>
        <v>3</v>
      </c>
    </row>
    <row r="23" customFormat="false" ht="15" hidden="false" customHeight="false" outlineLevel="0" collapsed="false">
      <c r="A23" s="9" t="s">
        <v>31</v>
      </c>
      <c r="B23" s="10" t="n">
        <f aca="false">SUMIFS(4_Clean_Data!$K$2:$K$41,4_Clean_Data!$E$2:$E$41,$A23,4_Clean_Data!$D$2:$D$41,$F$3,4_Clean_Data!$F$2:$F$41,$F$4,4_Clean_Data!$J$2:$J$41,"&lt;&gt;Cancelled")</f>
        <v>0</v>
      </c>
      <c r="C23" s="9" t="n">
        <f aca="false">SUMIFS(4_Clean_Data!$G$2:$G$41,4_Clean_Data!$E$2:$E$41,$A23,4_Clean_Data!$D$2:$D$41,$F$3,4_Clean_Data!$F$2:$F$41,$F$4,4_Clean_Data!$J$2:$J$41,"&lt;&gt;Cancelled")</f>
        <v>0</v>
      </c>
      <c r="D23" s="9" t="n">
        <f aca="false">RANK(B23,$B$17:$B$24)</f>
        <v>8</v>
      </c>
    </row>
    <row r="24" customFormat="false" ht="15" hidden="false" customHeight="false" outlineLevel="0" collapsed="false">
      <c r="A24" s="9" t="s">
        <v>32</v>
      </c>
      <c r="B24" s="10" t="n">
        <f aca="false">SUMIFS(4_Clean_Data!$K$2:$K$41,4_Clean_Data!$E$2:$E$41,$A24,4_Clean_Data!$D$2:$D$41,$F$3,4_Clean_Data!$F$2:$F$41,$F$4,4_Clean_Data!$J$2:$J$41,"&lt;&gt;Cancelled")</f>
        <v>4842</v>
      </c>
      <c r="C24" s="9" t="n">
        <f aca="false">SUMIFS(4_Clean_Data!$G$2:$G$41,4_Clean_Data!$E$2:$E$41,$A24,4_Clean_Data!$D$2:$D$41,$F$3,4_Clean_Data!$F$2:$F$41,$F$4,4_Clean_Data!$J$2:$J$41,"&lt;&gt;Cancelled")</f>
        <v>28</v>
      </c>
      <c r="D24" s="9" t="n">
        <f aca="false">RANK(B24,$B$17:$B$24)</f>
        <v>7</v>
      </c>
    </row>
    <row r="27" customFormat="false" ht="15" hidden="false" customHeight="false" outlineLevel="0" collapsed="false">
      <c r="A27" s="3" t="s">
        <v>33</v>
      </c>
    </row>
    <row r="28" customFormat="false" ht="15" hidden="false" customHeight="false" outlineLevel="0" collapsed="false">
      <c r="A28" s="5" t="s">
        <v>34</v>
      </c>
      <c r="B28" s="5" t="s">
        <v>15</v>
      </c>
      <c r="C28" s="5" t="s">
        <v>35</v>
      </c>
      <c r="D28" s="5" t="s">
        <v>16</v>
      </c>
    </row>
    <row r="29" customFormat="false" ht="15" hidden="false" customHeight="false" outlineLevel="0" collapsed="false">
      <c r="A29" s="9" t="s">
        <v>36</v>
      </c>
      <c r="B29" s="10" t="n">
        <f aca="false">SUMIFS(4_Clean_Data!$K$2:$K$41,4_Clean_Data!$D$2:$D$41,$A29,4_Clean_Data!$F$2:$F$41,$F$4,4_Clean_Data!$J$2:$J$41,"&lt;&gt;Cancelled")</f>
        <v>127934</v>
      </c>
      <c r="C29" s="14" t="n">
        <f aca="false">IFERROR(B29/SUM($B$29:$B$33),0)</f>
        <v>0.0670202060153377</v>
      </c>
      <c r="D29" s="9" t="n">
        <f aca="false">COUNTIFS(4_Clean_Data!$D$2:$D$41,$A29,4_Clean_Data!$F$2:$F$41,$F$4,4_Clean_Data!$J$2:$J$41,"&lt;&gt;Cancelled")</f>
        <v>8</v>
      </c>
    </row>
    <row r="30" customFormat="false" ht="15" hidden="false" customHeight="false" outlineLevel="0" collapsed="false">
      <c r="A30" s="9" t="s">
        <v>37</v>
      </c>
      <c r="B30" s="10" t="n">
        <f aca="false">SUMIFS(4_Clean_Data!$K$2:$K$41,4_Clean_Data!$D$2:$D$41,$A30,4_Clean_Data!$F$2:$F$41,$F$4,4_Clean_Data!$J$2:$J$41,"&lt;&gt;Cancelled")</f>
        <v>414712</v>
      </c>
      <c r="C30" s="14" t="n">
        <f aca="false">IFERROR(B30/SUM($B$29:$B$33),0)</f>
        <v>0.21725329995961</v>
      </c>
      <c r="D30" s="9" t="n">
        <f aca="false">COUNTIFS(4_Clean_Data!$D$2:$D$41,$A30,4_Clean_Data!$F$2:$F$41,$F$4,4_Clean_Data!$J$2:$J$41,"&lt;&gt;Cancelled")</f>
        <v>8</v>
      </c>
    </row>
    <row r="31" customFormat="false" ht="15" hidden="false" customHeight="false" outlineLevel="0" collapsed="false">
      <c r="A31" s="9" t="s">
        <v>38</v>
      </c>
      <c r="B31" s="10" t="n">
        <f aca="false">SUMIFS(4_Clean_Data!$K$2:$K$41,4_Clean_Data!$D$2:$D$41,$A31,4_Clean_Data!$F$2:$F$41,$F$4,4_Clean_Data!$J$2:$J$41,"&lt;&gt;Cancelled")</f>
        <v>528065</v>
      </c>
      <c r="C31" s="14" t="n">
        <f aca="false">IFERROR(B31/SUM($B$29:$B$33),0)</f>
        <v>0.276635023445599</v>
      </c>
      <c r="D31" s="9" t="n">
        <f aca="false">COUNTIFS(4_Clean_Data!$D$2:$D$41,$A31,4_Clean_Data!$F$2:$F$41,$F$4,4_Clean_Data!$J$2:$J$41,"&lt;&gt;Cancelled")</f>
        <v>7</v>
      </c>
    </row>
    <row r="32" customFormat="false" ht="15" hidden="false" customHeight="false" outlineLevel="0" collapsed="false">
      <c r="A32" s="9" t="s">
        <v>39</v>
      </c>
      <c r="B32" s="10" t="n">
        <f aca="false">SUMIFS(4_Clean_Data!$K$2:$K$41,4_Clean_Data!$D$2:$D$41,$A32,4_Clean_Data!$F$2:$F$41,$F$4,4_Clean_Data!$J$2:$J$41,"&lt;&gt;Cancelled")</f>
        <v>683150</v>
      </c>
      <c r="C32" s="14" t="n">
        <f aca="false">IFERROR(B32/SUM($B$29:$B$33),0)</f>
        <v>0.357878701044116</v>
      </c>
      <c r="D32" s="9" t="n">
        <f aca="false">COUNTIFS(4_Clean_Data!$D$2:$D$41,$A32,4_Clean_Data!$F$2:$F$41,$F$4,4_Clean_Data!$J$2:$J$41,"&lt;&gt;Cancelled")</f>
        <v>5</v>
      </c>
    </row>
    <row r="33" customFormat="false" ht="15" hidden="false" customHeight="false" outlineLevel="0" collapsed="false">
      <c r="A33" s="9" t="s">
        <v>40</v>
      </c>
      <c r="B33" s="10" t="n">
        <f aca="false">SUMIFS(4_Clean_Data!$K$2:$K$41,4_Clean_Data!$D$2:$D$41,$A33,4_Clean_Data!$F$2:$F$41,$F$4,4_Clean_Data!$J$2:$J$41,"&lt;&gt;Cancelled")</f>
        <v>155026</v>
      </c>
      <c r="C33" s="14" t="n">
        <f aca="false">IFERROR(B33/SUM($B$29:$B$33),0)</f>
        <v>0.0812127695353366</v>
      </c>
      <c r="D33" s="9" t="n">
        <f aca="false">COUNTIFS(4_Clean_Data!$D$2:$D$41,$A33,4_Clean_Data!$F$2:$F$41,$F$4,4_Clean_Data!$J$2:$J$41,"&lt;&gt;Cancelled")</f>
        <v>2</v>
      </c>
    </row>
    <row r="36" customFormat="false" ht="15" hidden="false" customHeight="false" outlineLevel="0" collapsed="false">
      <c r="A36" s="3" t="s">
        <v>41</v>
      </c>
    </row>
    <row r="37" customFormat="false" ht="42" hidden="false" customHeight="true" outlineLevel="0" collapsed="false">
      <c r="A37" s="15" t="str">
        <f aca="false">"• Revenue trend: "&amp;IF(B14&gt;=0,"up ","down ")&amp;TEXT(ABS(B14),"0.0%")&amp;" from Aug to Sep for the current filter selection."</f>
        <v>• Revenue trend: down 61.3% from Aug to Sep for the current filter selection.</v>
      </c>
      <c r="B37" s="15"/>
      <c r="C37" s="15"/>
      <c r="D37" s="15"/>
    </row>
    <row r="38" customFormat="false" ht="42" hidden="false" customHeight="true" outlineLevel="0" collapsed="false">
      <c r="A38" s="15" t="str">
        <f aca="false">"• Top-selling product by revenue: "&amp;F7&amp;"; top region: "&amp;G7&amp;"."</f>
        <v>• Top-selling product by revenue: Laptop; top region: West.</v>
      </c>
      <c r="B38" s="15"/>
      <c r="C38" s="15"/>
      <c r="D38" s="15"/>
    </row>
    <row r="39" customFormat="false" ht="42" hidden="false" customHeight="true" outlineLevel="0" collapsed="false">
      <c r="A39" s="15" t="str">
        <f aca="false">"• Cancellation rate for this selection is "&amp;TEXT(E7,"0.0%")&amp;"; average order value is ₹"&amp;TEXT(C7,"#,##0")&amp;"."</f>
        <v>• Cancellation rate for this selection is 25.0%; average order value is ₹63,630.</v>
      </c>
      <c r="B39" s="15"/>
      <c r="C39" s="15"/>
      <c r="D39" s="15"/>
    </row>
  </sheetData>
  <mergeCells count="3">
    <mergeCell ref="A37:D37"/>
    <mergeCell ref="A38:D38"/>
    <mergeCell ref="A39:D39"/>
  </mergeCells>
  <dataValidations count="2">
    <dataValidation allowBlank="false" errorStyle="stop" operator="between" showDropDown="false" showErrorMessage="false" showInputMessage="false" sqref="B3" type="list">
      <formula1>"All,North,South,East,West,Unspecified"</formula1>
      <formula2>0</formula2>
    </dataValidation>
    <dataValidation allowBlank="false" errorStyle="stop" operator="between" showDropDown="false" showErrorMessage="false" showInputMessage="false" sqref="B4" type="list">
      <formula1>"All,Electronics,Accessories,Furniture,Stationery"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8"/>
    <col collapsed="false" customWidth="true" hidden="false" outlineLevel="0" max="4" min="4" style="0" width="58"/>
    <col collapsed="false" customWidth="true" hidden="false" outlineLevel="0" max="5" min="5" style="0" width="36"/>
  </cols>
  <sheetData>
    <row r="1" customFormat="false" ht="17.35" hidden="false" customHeight="false" outlineLevel="0" collapsed="false">
      <c r="A1" s="16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5" t="s">
        <v>44</v>
      </c>
      <c r="B4" s="5" t="s">
        <v>45</v>
      </c>
      <c r="C4" s="5" t="s">
        <v>46</v>
      </c>
      <c r="D4" s="5" t="s">
        <v>47</v>
      </c>
      <c r="E4" s="5" t="s">
        <v>48</v>
      </c>
    </row>
    <row r="5" customFormat="false" ht="61.5" hidden="false" customHeight="true" outlineLevel="0" collapsed="false">
      <c r="A5" s="17" t="n">
        <v>1</v>
      </c>
      <c r="B5" s="17" t="s">
        <v>49</v>
      </c>
      <c r="C5" s="17" t="s">
        <v>50</v>
      </c>
      <c r="D5" s="17" t="s">
        <v>51</v>
      </c>
      <c r="E5" s="17" t="s">
        <v>52</v>
      </c>
    </row>
    <row r="6" customFormat="false" ht="61.5" hidden="false" customHeight="true" outlineLevel="0" collapsed="false">
      <c r="A6" s="17" t="n">
        <v>2</v>
      </c>
      <c r="B6" s="17" t="s">
        <v>53</v>
      </c>
      <c r="C6" s="17" t="s">
        <v>54</v>
      </c>
      <c r="D6" s="17" t="s">
        <v>55</v>
      </c>
      <c r="E6" s="17" t="s">
        <v>56</v>
      </c>
    </row>
    <row r="7" customFormat="false" ht="61.5" hidden="false" customHeight="true" outlineLevel="0" collapsed="false">
      <c r="A7" s="17" t="n">
        <v>3</v>
      </c>
      <c r="B7" s="17" t="s">
        <v>57</v>
      </c>
      <c r="C7" s="17" t="s">
        <v>58</v>
      </c>
      <c r="D7" s="17" t="s">
        <v>59</v>
      </c>
      <c r="E7" s="17" t="s">
        <v>60</v>
      </c>
    </row>
    <row r="8" customFormat="false" ht="61.5" hidden="false" customHeight="true" outlineLevel="0" collapsed="false">
      <c r="A8" s="17" t="n">
        <v>4</v>
      </c>
      <c r="B8" s="17" t="s">
        <v>61</v>
      </c>
      <c r="C8" s="17" t="s">
        <v>62</v>
      </c>
      <c r="D8" s="17" t="s">
        <v>63</v>
      </c>
      <c r="E8" s="17" t="s">
        <v>64</v>
      </c>
    </row>
    <row r="9" customFormat="false" ht="61.5" hidden="false" customHeight="true" outlineLevel="0" collapsed="false">
      <c r="A9" s="17" t="n">
        <v>5</v>
      </c>
      <c r="B9" s="17" t="s">
        <v>65</v>
      </c>
      <c r="C9" s="17" t="s">
        <v>66</v>
      </c>
      <c r="D9" s="17" t="s">
        <v>67</v>
      </c>
      <c r="E9" s="17" t="s">
        <v>68</v>
      </c>
    </row>
    <row r="10" customFormat="false" ht="61.5" hidden="false" customHeight="true" outlineLevel="0" collapsed="false">
      <c r="A10" s="17" t="n">
        <v>6</v>
      </c>
      <c r="B10" s="17" t="s">
        <v>69</v>
      </c>
      <c r="C10" s="17" t="s">
        <v>70</v>
      </c>
      <c r="D10" s="17" t="s">
        <v>71</v>
      </c>
      <c r="E10" s="17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5"/>
  </cols>
  <sheetData>
    <row r="1" customFormat="false" ht="15" hidden="false" customHeight="false" outlineLevel="0" collapsed="false">
      <c r="A1" s="5" t="s">
        <v>73</v>
      </c>
      <c r="B1" s="5" t="s">
        <v>74</v>
      </c>
      <c r="C1" s="5" t="s">
        <v>75</v>
      </c>
      <c r="D1" s="5" t="s">
        <v>34</v>
      </c>
      <c r="E1" s="5" t="s">
        <v>23</v>
      </c>
      <c r="F1" s="5" t="s">
        <v>76</v>
      </c>
      <c r="G1" s="5" t="s">
        <v>77</v>
      </c>
      <c r="H1" s="5" t="s">
        <v>78</v>
      </c>
      <c r="I1" s="5" t="s">
        <v>79</v>
      </c>
      <c r="J1" s="5" t="s">
        <v>80</v>
      </c>
    </row>
    <row r="2" customFormat="false" ht="15" hidden="false" customHeight="false" outlineLevel="0" collapsed="false">
      <c r="A2" s="12" t="s">
        <v>81</v>
      </c>
      <c r="B2" s="12" t="s">
        <v>82</v>
      </c>
      <c r="C2" s="12" t="s">
        <v>83</v>
      </c>
      <c r="D2" s="12" t="s">
        <v>84</v>
      </c>
      <c r="E2" s="12" t="s">
        <v>30</v>
      </c>
      <c r="F2" s="12" t="s">
        <v>85</v>
      </c>
      <c r="G2" s="12" t="n">
        <v>2</v>
      </c>
      <c r="H2" s="12" t="s">
        <v>86</v>
      </c>
      <c r="I2" s="12" t="n">
        <v>0.15</v>
      </c>
      <c r="J2" s="12" t="s">
        <v>87</v>
      </c>
    </row>
    <row r="3" customFormat="false" ht="15" hidden="false" customHeight="false" outlineLevel="0" collapsed="false">
      <c r="A3" s="12" t="s">
        <v>88</v>
      </c>
      <c r="B3" s="12" t="s">
        <v>89</v>
      </c>
      <c r="C3" s="12" t="s">
        <v>90</v>
      </c>
      <c r="D3" s="12" t="s">
        <v>37</v>
      </c>
      <c r="E3" s="12" t="s">
        <v>30</v>
      </c>
      <c r="F3" s="12" t="s">
        <v>85</v>
      </c>
      <c r="G3" s="12" t="n">
        <v>1</v>
      </c>
      <c r="H3" s="12" t="n">
        <v>12000</v>
      </c>
      <c r="I3" s="12" t="n">
        <v>0</v>
      </c>
      <c r="J3" s="12" t="s">
        <v>91</v>
      </c>
    </row>
    <row r="4" customFormat="false" ht="15" hidden="false" customHeight="false" outlineLevel="0" collapsed="false">
      <c r="A4" s="12" t="s">
        <v>92</v>
      </c>
      <c r="B4" s="12" t="s">
        <v>93</v>
      </c>
      <c r="C4" s="12" t="s">
        <v>94</v>
      </c>
      <c r="D4" s="12" t="s">
        <v>36</v>
      </c>
      <c r="E4" s="12" t="s">
        <v>31</v>
      </c>
      <c r="F4" s="12" t="s">
        <v>95</v>
      </c>
      <c r="G4" s="12" t="n">
        <v>7</v>
      </c>
      <c r="H4" s="12" t="n">
        <v>350</v>
      </c>
      <c r="I4" s="12" t="n">
        <v>0</v>
      </c>
      <c r="J4" s="12" t="s">
        <v>96</v>
      </c>
    </row>
    <row r="5" customFormat="false" ht="15" hidden="false" customHeight="false" outlineLevel="0" collapsed="false">
      <c r="A5" s="12" t="s">
        <v>97</v>
      </c>
      <c r="B5" s="12" t="s">
        <v>98</v>
      </c>
      <c r="C5" s="12" t="s">
        <v>99</v>
      </c>
      <c r="D5" s="12"/>
      <c r="E5" s="12" t="s">
        <v>26</v>
      </c>
      <c r="F5" s="12" t="s">
        <v>100</v>
      </c>
      <c r="G5" s="12" t="n">
        <v>7</v>
      </c>
      <c r="H5" s="12" t="n">
        <v>22000</v>
      </c>
      <c r="I5" s="12" t="n">
        <v>0</v>
      </c>
      <c r="J5" s="12" t="s">
        <v>87</v>
      </c>
    </row>
    <row r="6" customFormat="false" ht="15" hidden="false" customHeight="false" outlineLevel="0" collapsed="false">
      <c r="A6" s="12" t="s">
        <v>101</v>
      </c>
      <c r="B6" s="12" t="s">
        <v>102</v>
      </c>
      <c r="C6" s="12" t="s">
        <v>103</v>
      </c>
      <c r="D6" s="12" t="s">
        <v>38</v>
      </c>
      <c r="E6" s="12" t="s">
        <v>25</v>
      </c>
      <c r="F6" s="12" t="s">
        <v>100</v>
      </c>
      <c r="G6" s="12" t="n">
        <v>7</v>
      </c>
      <c r="H6" s="12" t="n">
        <v>55000</v>
      </c>
      <c r="I6" s="12" t="n">
        <v>0</v>
      </c>
      <c r="J6" s="12" t="s">
        <v>96</v>
      </c>
    </row>
    <row r="7" customFormat="false" ht="15" hidden="false" customHeight="false" outlineLevel="0" collapsed="false">
      <c r="A7" s="12" t="s">
        <v>104</v>
      </c>
      <c r="B7" s="12" t="s">
        <v>105</v>
      </c>
      <c r="C7" s="12" t="s">
        <v>106</v>
      </c>
      <c r="D7" s="12" t="s">
        <v>107</v>
      </c>
      <c r="E7" s="12" t="s">
        <v>26</v>
      </c>
      <c r="F7" s="12" t="s">
        <v>100</v>
      </c>
      <c r="G7" s="12" t="n">
        <v>2</v>
      </c>
      <c r="H7" s="12" t="n">
        <v>22000</v>
      </c>
      <c r="I7" s="12" t="n">
        <v>0.15</v>
      </c>
      <c r="J7" s="12" t="s">
        <v>96</v>
      </c>
    </row>
    <row r="8" customFormat="false" ht="15" hidden="false" customHeight="false" outlineLevel="0" collapsed="false">
      <c r="A8" s="12" t="s">
        <v>108</v>
      </c>
      <c r="B8" s="12" t="s">
        <v>109</v>
      </c>
      <c r="C8" s="12" t="s">
        <v>110</v>
      </c>
      <c r="D8" s="12" t="s">
        <v>36</v>
      </c>
      <c r="E8" s="12" t="s">
        <v>28</v>
      </c>
      <c r="F8" s="12" t="s">
        <v>111</v>
      </c>
      <c r="G8" s="12" t="n">
        <v>1</v>
      </c>
      <c r="H8" s="12" t="s">
        <v>112</v>
      </c>
      <c r="I8" s="12" t="n">
        <v>0.15</v>
      </c>
      <c r="J8" s="12" t="s">
        <v>87</v>
      </c>
    </row>
    <row r="9" customFormat="false" ht="15" hidden="false" customHeight="false" outlineLevel="0" collapsed="false">
      <c r="A9" s="12" t="s">
        <v>113</v>
      </c>
      <c r="B9" s="12" t="s">
        <v>114</v>
      </c>
      <c r="C9" s="12" t="s">
        <v>115</v>
      </c>
      <c r="D9" s="12" t="s">
        <v>116</v>
      </c>
      <c r="E9" s="12" t="s">
        <v>32</v>
      </c>
      <c r="F9" s="12" t="s">
        <v>95</v>
      </c>
      <c r="G9" s="12" t="n">
        <v>6</v>
      </c>
      <c r="H9" s="12" t="n">
        <v>180</v>
      </c>
      <c r="I9" s="12" t="n">
        <v>0.1</v>
      </c>
      <c r="J9" s="12" t="s">
        <v>96</v>
      </c>
    </row>
    <row r="10" customFormat="false" ht="15" hidden="false" customHeight="false" outlineLevel="0" collapsed="false">
      <c r="A10" s="12" t="s">
        <v>117</v>
      </c>
      <c r="B10" s="12" t="s">
        <v>118</v>
      </c>
      <c r="C10" s="12" t="s">
        <v>106</v>
      </c>
      <c r="D10" s="12" t="s">
        <v>37</v>
      </c>
      <c r="E10" s="12" t="s">
        <v>32</v>
      </c>
      <c r="F10" s="12" t="s">
        <v>95</v>
      </c>
      <c r="G10" s="12"/>
      <c r="H10" s="12" t="n">
        <v>180</v>
      </c>
      <c r="I10" s="12" t="n">
        <v>0</v>
      </c>
      <c r="J10" s="12" t="s">
        <v>87</v>
      </c>
    </row>
    <row r="11" customFormat="false" ht="15" hidden="false" customHeight="false" outlineLevel="0" collapsed="false">
      <c r="A11" s="12" t="s">
        <v>119</v>
      </c>
      <c r="B11" s="12" t="s">
        <v>120</v>
      </c>
      <c r="C11" s="12" t="s">
        <v>121</v>
      </c>
      <c r="D11" s="12" t="s">
        <v>38</v>
      </c>
      <c r="E11" s="12" t="s">
        <v>29</v>
      </c>
      <c r="F11" s="12" t="s">
        <v>85</v>
      </c>
      <c r="G11" s="12" t="n">
        <v>8</v>
      </c>
      <c r="H11" s="12" t="n">
        <v>8500</v>
      </c>
      <c r="I11" s="12" t="n">
        <v>0.05</v>
      </c>
      <c r="J11" s="12" t="s">
        <v>96</v>
      </c>
    </row>
    <row r="12" customFormat="false" ht="15" hidden="false" customHeight="false" outlineLevel="0" collapsed="false">
      <c r="A12" s="12" t="s">
        <v>122</v>
      </c>
      <c r="B12" s="12" t="s">
        <v>123</v>
      </c>
      <c r="C12" s="12" t="s">
        <v>115</v>
      </c>
      <c r="D12" s="12" t="s">
        <v>124</v>
      </c>
      <c r="E12" s="12" t="s">
        <v>26</v>
      </c>
      <c r="F12" s="12" t="s">
        <v>100</v>
      </c>
      <c r="G12" s="12" t="n">
        <v>3</v>
      </c>
      <c r="H12" s="12" t="n">
        <v>22000</v>
      </c>
      <c r="I12" s="12" t="n">
        <v>0.05</v>
      </c>
      <c r="J12" s="12" t="s">
        <v>87</v>
      </c>
    </row>
    <row r="13" customFormat="false" ht="15" hidden="false" customHeight="false" outlineLevel="0" collapsed="false">
      <c r="A13" s="12" t="s">
        <v>125</v>
      </c>
      <c r="B13" s="12" t="s">
        <v>126</v>
      </c>
      <c r="C13" s="12" t="s">
        <v>90</v>
      </c>
      <c r="D13" s="12"/>
      <c r="E13" s="12" t="s">
        <v>32</v>
      </c>
      <c r="F13" s="12" t="s">
        <v>95</v>
      </c>
      <c r="G13" s="12" t="n">
        <v>6</v>
      </c>
      <c r="H13" s="12" t="n">
        <v>180</v>
      </c>
      <c r="I13" s="12" t="n">
        <v>0.05</v>
      </c>
      <c r="J13" s="12" t="s">
        <v>87</v>
      </c>
    </row>
    <row r="14" customFormat="false" ht="15" hidden="false" customHeight="false" outlineLevel="0" collapsed="false">
      <c r="A14" s="12" t="s">
        <v>127</v>
      </c>
      <c r="B14" s="12" t="s">
        <v>128</v>
      </c>
      <c r="C14" s="12" t="s">
        <v>129</v>
      </c>
      <c r="D14" s="12" t="s">
        <v>36</v>
      </c>
      <c r="E14" s="12" t="s">
        <v>32</v>
      </c>
      <c r="F14" s="12" t="s">
        <v>95</v>
      </c>
      <c r="G14" s="12" t="n">
        <v>2</v>
      </c>
      <c r="H14" s="12" t="s">
        <v>130</v>
      </c>
      <c r="I14" s="12" t="n">
        <v>0.05</v>
      </c>
      <c r="J14" s="12" t="s">
        <v>91</v>
      </c>
    </row>
    <row r="15" customFormat="false" ht="15" hidden="false" customHeight="false" outlineLevel="0" collapsed="false">
      <c r="A15" s="12" t="s">
        <v>131</v>
      </c>
      <c r="B15" s="12" t="s">
        <v>132</v>
      </c>
      <c r="C15" s="12" t="s">
        <v>133</v>
      </c>
      <c r="D15" s="12" t="s">
        <v>38</v>
      </c>
      <c r="E15" s="12" t="s">
        <v>26</v>
      </c>
      <c r="F15" s="12" t="s">
        <v>100</v>
      </c>
      <c r="G15" s="12" t="n">
        <v>8</v>
      </c>
      <c r="H15" s="12" t="n">
        <v>22000</v>
      </c>
      <c r="I15" s="12" t="n">
        <v>0.05</v>
      </c>
      <c r="J15" s="12" t="s">
        <v>91</v>
      </c>
    </row>
    <row r="16" customFormat="false" ht="15" hidden="false" customHeight="false" outlineLevel="0" collapsed="false">
      <c r="A16" s="12" t="s">
        <v>134</v>
      </c>
      <c r="B16" s="12" t="s">
        <v>135</v>
      </c>
      <c r="C16" s="12" t="s">
        <v>129</v>
      </c>
      <c r="D16" s="12" t="s">
        <v>136</v>
      </c>
      <c r="E16" s="12" t="s">
        <v>30</v>
      </c>
      <c r="F16" s="12" t="s">
        <v>85</v>
      </c>
      <c r="G16" s="12" t="n">
        <v>3</v>
      </c>
      <c r="H16" s="12" t="n">
        <v>12000</v>
      </c>
      <c r="I16" s="12" t="n">
        <v>0.15</v>
      </c>
      <c r="J16" s="12" t="s">
        <v>87</v>
      </c>
    </row>
    <row r="17" customFormat="false" ht="15" hidden="false" customHeight="false" outlineLevel="0" collapsed="false">
      <c r="A17" s="12" t="s">
        <v>137</v>
      </c>
      <c r="B17" s="12" t="s">
        <v>138</v>
      </c>
      <c r="C17" s="12" t="s">
        <v>94</v>
      </c>
      <c r="D17" s="12" t="s">
        <v>139</v>
      </c>
      <c r="E17" s="12" t="s">
        <v>32</v>
      </c>
      <c r="F17" s="12" t="s">
        <v>95</v>
      </c>
      <c r="G17" s="12" t="n">
        <v>-3</v>
      </c>
      <c r="H17" s="12" t="n">
        <v>180</v>
      </c>
      <c r="I17" s="12" t="n">
        <v>0</v>
      </c>
      <c r="J17" s="12" t="s">
        <v>91</v>
      </c>
    </row>
    <row r="18" customFormat="false" ht="15" hidden="false" customHeight="false" outlineLevel="0" collapsed="false">
      <c r="A18" s="12" t="s">
        <v>140</v>
      </c>
      <c r="B18" s="12" t="s">
        <v>141</v>
      </c>
      <c r="C18" s="12" t="s">
        <v>110</v>
      </c>
      <c r="D18" s="12" t="s">
        <v>37</v>
      </c>
      <c r="E18" s="12" t="s">
        <v>31</v>
      </c>
      <c r="F18" s="12" t="s">
        <v>95</v>
      </c>
      <c r="G18" s="12" t="n">
        <v>8</v>
      </c>
      <c r="H18" s="12" t="n">
        <v>350</v>
      </c>
      <c r="I18" s="12" t="n">
        <v>0.1</v>
      </c>
      <c r="J18" s="12" t="s">
        <v>96</v>
      </c>
    </row>
    <row r="19" customFormat="false" ht="15" hidden="false" customHeight="false" outlineLevel="0" collapsed="false">
      <c r="A19" s="12" t="s">
        <v>142</v>
      </c>
      <c r="B19" s="12" t="s">
        <v>143</v>
      </c>
      <c r="C19" s="12" t="s">
        <v>144</v>
      </c>
      <c r="D19" s="12" t="s">
        <v>38</v>
      </c>
      <c r="E19" s="12" t="s">
        <v>29</v>
      </c>
      <c r="F19" s="12" t="s">
        <v>85</v>
      </c>
      <c r="G19" s="12" t="n">
        <v>7</v>
      </c>
      <c r="H19" s="12" t="n">
        <v>8500</v>
      </c>
      <c r="I19" s="12" t="n">
        <v>0.05</v>
      </c>
      <c r="J19" s="12" t="s">
        <v>91</v>
      </c>
    </row>
    <row r="20" customFormat="false" ht="15" hidden="false" customHeight="false" outlineLevel="0" collapsed="false">
      <c r="A20" s="12" t="s">
        <v>145</v>
      </c>
      <c r="B20" s="12" t="s">
        <v>82</v>
      </c>
      <c r="C20" s="12" t="s">
        <v>146</v>
      </c>
      <c r="D20" s="12" t="s">
        <v>37</v>
      </c>
      <c r="E20" s="12" t="s">
        <v>28</v>
      </c>
      <c r="F20" s="12" t="s">
        <v>111</v>
      </c>
      <c r="G20" s="12" t="n">
        <v>3</v>
      </c>
      <c r="H20" s="12" t="s">
        <v>112</v>
      </c>
      <c r="I20" s="12" t="n">
        <v>0</v>
      </c>
      <c r="J20" s="12" t="s">
        <v>87</v>
      </c>
    </row>
    <row r="21" customFormat="false" ht="15" hidden="false" customHeight="false" outlineLevel="0" collapsed="false">
      <c r="A21" s="12" t="s">
        <v>147</v>
      </c>
      <c r="B21" s="12" t="s">
        <v>148</v>
      </c>
      <c r="C21" s="12" t="s">
        <v>149</v>
      </c>
      <c r="D21" s="12" t="s">
        <v>37</v>
      </c>
      <c r="E21" s="12" t="s">
        <v>25</v>
      </c>
      <c r="F21" s="12" t="s">
        <v>100</v>
      </c>
      <c r="G21" s="12" t="n">
        <v>5</v>
      </c>
      <c r="H21" s="12" t="n">
        <v>55000</v>
      </c>
      <c r="I21" s="12" t="n">
        <v>0.05</v>
      </c>
      <c r="J21" s="12" t="s">
        <v>87</v>
      </c>
    </row>
    <row r="22" customFormat="false" ht="15" hidden="false" customHeight="false" outlineLevel="0" collapsed="false">
      <c r="A22" s="12" t="s">
        <v>150</v>
      </c>
      <c r="B22" s="12" t="s">
        <v>126</v>
      </c>
      <c r="C22" s="12" t="s">
        <v>115</v>
      </c>
      <c r="D22" s="12" t="s">
        <v>139</v>
      </c>
      <c r="E22" s="12" t="s">
        <v>27</v>
      </c>
      <c r="F22" s="12" t="s">
        <v>111</v>
      </c>
      <c r="G22" s="12" t="n">
        <v>6</v>
      </c>
      <c r="H22" s="12" t="n">
        <v>2500</v>
      </c>
      <c r="I22" s="12" t="n">
        <v>0</v>
      </c>
      <c r="J22" s="12" t="s">
        <v>96</v>
      </c>
    </row>
    <row r="23" customFormat="false" ht="15" hidden="false" customHeight="false" outlineLevel="0" collapsed="false">
      <c r="A23" s="12" t="s">
        <v>151</v>
      </c>
      <c r="B23" s="12" t="s">
        <v>152</v>
      </c>
      <c r="C23" s="12" t="s">
        <v>99</v>
      </c>
      <c r="D23" s="12" t="s">
        <v>116</v>
      </c>
      <c r="E23" s="12" t="s">
        <v>25</v>
      </c>
      <c r="F23" s="12" t="s">
        <v>100</v>
      </c>
      <c r="G23" s="12" t="n">
        <v>7</v>
      </c>
      <c r="H23" s="12" t="n">
        <v>55000</v>
      </c>
      <c r="I23" s="12" t="n">
        <v>0.1</v>
      </c>
      <c r="J23" s="12" t="s">
        <v>91</v>
      </c>
    </row>
    <row r="24" customFormat="false" ht="15" hidden="false" customHeight="false" outlineLevel="0" collapsed="false">
      <c r="A24" s="12" t="s">
        <v>153</v>
      </c>
      <c r="B24" s="12" t="s">
        <v>154</v>
      </c>
      <c r="C24" s="12" t="s">
        <v>99</v>
      </c>
      <c r="D24" s="12" t="s">
        <v>39</v>
      </c>
      <c r="E24" s="12" t="s">
        <v>26</v>
      </c>
      <c r="F24" s="12" t="s">
        <v>100</v>
      </c>
      <c r="G24" s="12"/>
      <c r="H24" s="12" t="n">
        <v>22000</v>
      </c>
      <c r="I24" s="12" t="n">
        <v>0</v>
      </c>
      <c r="J24" s="12" t="s">
        <v>87</v>
      </c>
    </row>
    <row r="25" customFormat="false" ht="15" hidden="false" customHeight="false" outlineLevel="0" collapsed="false">
      <c r="A25" s="12" t="s">
        <v>155</v>
      </c>
      <c r="B25" s="12" t="s">
        <v>156</v>
      </c>
      <c r="C25" s="12" t="s">
        <v>103</v>
      </c>
      <c r="D25" s="12" t="s">
        <v>36</v>
      </c>
      <c r="E25" s="12" t="s">
        <v>28</v>
      </c>
      <c r="F25" s="12" t="s">
        <v>111</v>
      </c>
      <c r="G25" s="12" t="n">
        <v>6</v>
      </c>
      <c r="H25" s="12" t="n">
        <v>1200</v>
      </c>
      <c r="I25" s="12" t="n">
        <v>0.15</v>
      </c>
      <c r="J25" s="12" t="s">
        <v>87</v>
      </c>
    </row>
    <row r="26" customFormat="false" ht="15" hidden="false" customHeight="false" outlineLevel="0" collapsed="false">
      <c r="A26" s="12" t="s">
        <v>157</v>
      </c>
      <c r="B26" s="12" t="s">
        <v>158</v>
      </c>
      <c r="C26" s="12" t="s">
        <v>149</v>
      </c>
      <c r="D26" s="12" t="s">
        <v>37</v>
      </c>
      <c r="E26" s="12" t="s">
        <v>26</v>
      </c>
      <c r="F26" s="12" t="s">
        <v>100</v>
      </c>
      <c r="G26" s="12" t="n">
        <v>2</v>
      </c>
      <c r="H26" s="12" t="s">
        <v>159</v>
      </c>
      <c r="I26" s="12" t="n">
        <v>0.05</v>
      </c>
      <c r="J26" s="12" t="s">
        <v>96</v>
      </c>
    </row>
    <row r="27" customFormat="false" ht="15" hidden="false" customHeight="false" outlineLevel="0" collapsed="false">
      <c r="A27" s="12" t="s">
        <v>160</v>
      </c>
      <c r="B27" s="12" t="s">
        <v>161</v>
      </c>
      <c r="C27" s="12" t="s">
        <v>94</v>
      </c>
      <c r="D27" s="12" t="s">
        <v>124</v>
      </c>
      <c r="E27" s="12" t="s">
        <v>25</v>
      </c>
      <c r="F27" s="12" t="s">
        <v>100</v>
      </c>
      <c r="G27" s="12" t="n">
        <v>3</v>
      </c>
      <c r="H27" s="12" t="n">
        <v>55000</v>
      </c>
      <c r="I27" s="12" t="n">
        <v>0.05</v>
      </c>
      <c r="J27" s="12" t="s">
        <v>87</v>
      </c>
    </row>
    <row r="28" customFormat="false" ht="15" hidden="false" customHeight="false" outlineLevel="0" collapsed="false">
      <c r="A28" s="12" t="s">
        <v>162</v>
      </c>
      <c r="B28" s="12" t="s">
        <v>163</v>
      </c>
      <c r="C28" s="12" t="s">
        <v>110</v>
      </c>
      <c r="D28" s="12" t="s">
        <v>36</v>
      </c>
      <c r="E28" s="12" t="s">
        <v>30</v>
      </c>
      <c r="F28" s="12" t="s">
        <v>85</v>
      </c>
      <c r="G28" s="12" t="n">
        <v>8</v>
      </c>
      <c r="H28" s="12" t="n">
        <v>12000</v>
      </c>
      <c r="I28" s="12" t="n">
        <v>0.1</v>
      </c>
      <c r="J28" s="12" t="s">
        <v>91</v>
      </c>
    </row>
    <row r="29" customFormat="false" ht="15" hidden="false" customHeight="false" outlineLevel="0" collapsed="false">
      <c r="A29" s="12" t="s">
        <v>164</v>
      </c>
      <c r="B29" s="12" t="s">
        <v>165</v>
      </c>
      <c r="C29" s="12" t="s">
        <v>146</v>
      </c>
      <c r="D29" s="12" t="s">
        <v>37</v>
      </c>
      <c r="E29" s="12" t="s">
        <v>32</v>
      </c>
      <c r="F29" s="12" t="s">
        <v>95</v>
      </c>
      <c r="G29" s="12" t="n">
        <v>2</v>
      </c>
      <c r="H29" s="12" t="n">
        <v>180</v>
      </c>
      <c r="I29" s="12" t="n">
        <v>0.05</v>
      </c>
      <c r="J29" s="12" t="s">
        <v>87</v>
      </c>
    </row>
    <row r="30" customFormat="false" ht="15" hidden="false" customHeight="false" outlineLevel="0" collapsed="false">
      <c r="A30" s="12" t="s">
        <v>166</v>
      </c>
      <c r="B30" s="12" t="s">
        <v>167</v>
      </c>
      <c r="C30" s="12" t="s">
        <v>103</v>
      </c>
      <c r="D30" s="12" t="s">
        <v>168</v>
      </c>
      <c r="E30" s="12" t="s">
        <v>32</v>
      </c>
      <c r="F30" s="12" t="s">
        <v>95</v>
      </c>
      <c r="G30" s="12" t="n">
        <v>4</v>
      </c>
      <c r="H30" s="12" t="n">
        <v>180</v>
      </c>
      <c r="I30" s="12" t="n">
        <v>0.15</v>
      </c>
      <c r="J30" s="12" t="s">
        <v>87</v>
      </c>
    </row>
    <row r="31" customFormat="false" ht="15" hidden="false" customHeight="false" outlineLevel="0" collapsed="false">
      <c r="A31" s="12" t="s">
        <v>169</v>
      </c>
      <c r="B31" s="12" t="s">
        <v>170</v>
      </c>
      <c r="C31" s="12" t="s">
        <v>115</v>
      </c>
      <c r="D31" s="12" t="s">
        <v>36</v>
      </c>
      <c r="E31" s="12" t="s">
        <v>27</v>
      </c>
      <c r="F31" s="12" t="s">
        <v>111</v>
      </c>
      <c r="G31" s="12" t="n">
        <v>5</v>
      </c>
      <c r="H31" s="12" t="n">
        <v>2500</v>
      </c>
      <c r="I31" s="12" t="n">
        <v>0</v>
      </c>
      <c r="J31" s="12" t="s">
        <v>87</v>
      </c>
    </row>
    <row r="32" customFormat="false" ht="15" hidden="false" customHeight="false" outlineLevel="0" collapsed="false">
      <c r="A32" s="12" t="s">
        <v>171</v>
      </c>
      <c r="B32" s="12" t="s">
        <v>172</v>
      </c>
      <c r="C32" s="12" t="s">
        <v>173</v>
      </c>
      <c r="D32" s="12" t="s">
        <v>107</v>
      </c>
      <c r="E32" s="12" t="s">
        <v>30</v>
      </c>
      <c r="F32" s="12" t="s">
        <v>85</v>
      </c>
      <c r="G32" s="12" t="n">
        <v>6</v>
      </c>
      <c r="H32" s="12" t="s">
        <v>86</v>
      </c>
      <c r="I32" s="12"/>
      <c r="J32" s="12" t="s">
        <v>96</v>
      </c>
    </row>
    <row r="33" customFormat="false" ht="15" hidden="false" customHeight="false" outlineLevel="0" collapsed="false">
      <c r="A33" s="12" t="s">
        <v>174</v>
      </c>
      <c r="B33" s="12" t="s">
        <v>175</v>
      </c>
      <c r="C33" s="12" t="s">
        <v>144</v>
      </c>
      <c r="D33" s="12" t="s">
        <v>37</v>
      </c>
      <c r="E33" s="12" t="s">
        <v>28</v>
      </c>
      <c r="F33" s="12" t="s">
        <v>111</v>
      </c>
      <c r="G33" s="12" t="n">
        <v>4</v>
      </c>
      <c r="H33" s="12" t="n">
        <v>1200</v>
      </c>
      <c r="I33" s="12" t="n">
        <v>0.15</v>
      </c>
      <c r="J33" s="12" t="s">
        <v>91</v>
      </c>
    </row>
    <row r="34" customFormat="false" ht="15" hidden="false" customHeight="false" outlineLevel="0" collapsed="false">
      <c r="A34" s="12" t="s">
        <v>176</v>
      </c>
      <c r="B34" s="12" t="s">
        <v>177</v>
      </c>
      <c r="C34" s="12" t="s">
        <v>90</v>
      </c>
      <c r="D34" s="12" t="s">
        <v>38</v>
      </c>
      <c r="E34" s="12" t="s">
        <v>30</v>
      </c>
      <c r="F34" s="12" t="s">
        <v>85</v>
      </c>
      <c r="G34" s="12" t="n">
        <v>8</v>
      </c>
      <c r="H34" s="12" t="n">
        <v>12000</v>
      </c>
      <c r="I34" s="12" t="n">
        <v>0.05</v>
      </c>
      <c r="J34" s="12" t="s">
        <v>87</v>
      </c>
    </row>
    <row r="35" customFormat="false" ht="15" hidden="false" customHeight="false" outlineLevel="0" collapsed="false">
      <c r="A35" s="12" t="s">
        <v>178</v>
      </c>
      <c r="B35" s="12" t="s">
        <v>179</v>
      </c>
      <c r="C35" s="12" t="s">
        <v>133</v>
      </c>
      <c r="D35" s="12" t="s">
        <v>38</v>
      </c>
      <c r="E35" s="12" t="s">
        <v>30</v>
      </c>
      <c r="F35" s="12" t="s">
        <v>85</v>
      </c>
      <c r="G35" s="12" t="n">
        <v>6</v>
      </c>
      <c r="H35" s="12" t="n">
        <v>12000</v>
      </c>
      <c r="I35" s="12" t="n">
        <v>0</v>
      </c>
      <c r="J35" s="12" t="s">
        <v>87</v>
      </c>
    </row>
    <row r="36" customFormat="false" ht="15" hidden="false" customHeight="false" outlineLevel="0" collapsed="false">
      <c r="A36" s="12" t="s">
        <v>180</v>
      </c>
      <c r="B36" s="12" t="s">
        <v>181</v>
      </c>
      <c r="C36" s="12" t="s">
        <v>129</v>
      </c>
      <c r="D36" s="12" t="s">
        <v>37</v>
      </c>
      <c r="E36" s="12" t="s">
        <v>26</v>
      </c>
      <c r="F36" s="12" t="s">
        <v>100</v>
      </c>
      <c r="G36" s="12" t="n">
        <v>6</v>
      </c>
      <c r="H36" s="12" t="n">
        <v>22000</v>
      </c>
      <c r="I36" s="12" t="n">
        <v>0</v>
      </c>
      <c r="J36" s="12" t="s">
        <v>91</v>
      </c>
    </row>
    <row r="37" customFormat="false" ht="15" hidden="false" customHeight="false" outlineLevel="0" collapsed="false">
      <c r="A37" s="12" t="s">
        <v>182</v>
      </c>
      <c r="B37" s="12" t="s">
        <v>183</v>
      </c>
      <c r="C37" s="12" t="s">
        <v>99</v>
      </c>
      <c r="D37" s="12" t="s">
        <v>139</v>
      </c>
      <c r="E37" s="12" t="s">
        <v>25</v>
      </c>
      <c r="F37" s="12" t="s">
        <v>100</v>
      </c>
      <c r="G37" s="12" t="n">
        <v>2</v>
      </c>
      <c r="H37" s="12" t="n">
        <v>55000</v>
      </c>
      <c r="I37" s="12" t="n">
        <v>0</v>
      </c>
      <c r="J37" s="12" t="s">
        <v>91</v>
      </c>
    </row>
    <row r="38" customFormat="false" ht="15" hidden="false" customHeight="false" outlineLevel="0" collapsed="false">
      <c r="A38" s="12" t="s">
        <v>184</v>
      </c>
      <c r="B38" s="12" t="s">
        <v>185</v>
      </c>
      <c r="C38" s="12" t="s">
        <v>186</v>
      </c>
      <c r="D38" s="12" t="s">
        <v>39</v>
      </c>
      <c r="E38" s="12" t="s">
        <v>28</v>
      </c>
      <c r="F38" s="12" t="s">
        <v>111</v>
      </c>
      <c r="G38" s="12" t="n">
        <v>6</v>
      </c>
      <c r="H38" s="12" t="s">
        <v>112</v>
      </c>
      <c r="I38" s="12" t="n">
        <v>0</v>
      </c>
      <c r="J38" s="12" t="s">
        <v>91</v>
      </c>
    </row>
    <row r="39" customFormat="false" ht="15" hidden="false" customHeight="false" outlineLevel="0" collapsed="false">
      <c r="A39" s="12" t="s">
        <v>187</v>
      </c>
      <c r="B39" s="12" t="s">
        <v>188</v>
      </c>
      <c r="C39" s="12" t="s">
        <v>133</v>
      </c>
      <c r="D39" s="12" t="s">
        <v>36</v>
      </c>
      <c r="E39" s="12" t="s">
        <v>32</v>
      </c>
      <c r="F39" s="12" t="s">
        <v>95</v>
      </c>
      <c r="G39" s="12" t="n">
        <v>3</v>
      </c>
      <c r="H39" s="12" t="n">
        <v>180</v>
      </c>
      <c r="I39" s="12" t="n">
        <v>0</v>
      </c>
      <c r="J39" s="12" t="s">
        <v>87</v>
      </c>
    </row>
    <row r="40" customFormat="false" ht="15" hidden="false" customHeight="false" outlineLevel="0" collapsed="false">
      <c r="A40" s="12" t="s">
        <v>189</v>
      </c>
      <c r="B40" s="12" t="s">
        <v>190</v>
      </c>
      <c r="C40" s="12" t="s">
        <v>149</v>
      </c>
      <c r="D40" s="12" t="s">
        <v>39</v>
      </c>
      <c r="E40" s="12" t="s">
        <v>25</v>
      </c>
      <c r="F40" s="12" t="s">
        <v>100</v>
      </c>
      <c r="G40" s="12" t="n">
        <v>3</v>
      </c>
      <c r="H40" s="12" t="n">
        <v>55000</v>
      </c>
      <c r="I40" s="12" t="n">
        <v>0.15</v>
      </c>
      <c r="J40" s="12" t="s">
        <v>96</v>
      </c>
    </row>
    <row r="41" customFormat="false" ht="15" hidden="false" customHeight="false" outlineLevel="0" collapsed="false">
      <c r="A41" s="12" t="s">
        <v>191</v>
      </c>
      <c r="B41" s="12" t="s">
        <v>192</v>
      </c>
      <c r="C41" s="12" t="s">
        <v>173</v>
      </c>
      <c r="D41" s="12" t="s">
        <v>37</v>
      </c>
      <c r="E41" s="12" t="s">
        <v>32</v>
      </c>
      <c r="F41" s="12" t="s">
        <v>95</v>
      </c>
      <c r="G41" s="12" t="n">
        <v>3</v>
      </c>
      <c r="H41" s="12" t="n">
        <v>180</v>
      </c>
      <c r="I41" s="12" t="n">
        <v>0</v>
      </c>
      <c r="J41" s="12" t="s">
        <v>87</v>
      </c>
    </row>
    <row r="42" customFormat="false" ht="15" hidden="false" customHeight="false" outlineLevel="0" collapsed="false">
      <c r="A42" s="12" t="s">
        <v>92</v>
      </c>
      <c r="B42" s="12" t="s">
        <v>93</v>
      </c>
      <c r="C42" s="12" t="s">
        <v>94</v>
      </c>
      <c r="D42" s="12" t="s">
        <v>36</v>
      </c>
      <c r="E42" s="12" t="s">
        <v>31</v>
      </c>
      <c r="F42" s="12" t="s">
        <v>95</v>
      </c>
      <c r="G42" s="12" t="n">
        <v>7</v>
      </c>
      <c r="H42" s="12" t="n">
        <v>350</v>
      </c>
      <c r="I42" s="12" t="n">
        <v>0</v>
      </c>
      <c r="J42" s="12" t="s">
        <v>96</v>
      </c>
    </row>
    <row r="43" customFormat="false" ht="15" hidden="false" customHeight="false" outlineLevel="0" collapsed="false">
      <c r="A43" s="12" t="s">
        <v>134</v>
      </c>
      <c r="B43" s="12" t="s">
        <v>135</v>
      </c>
      <c r="C43" s="12" t="s">
        <v>129</v>
      </c>
      <c r="D43" s="12" t="s">
        <v>136</v>
      </c>
      <c r="E43" s="12" t="s">
        <v>30</v>
      </c>
      <c r="F43" s="12" t="s">
        <v>85</v>
      </c>
      <c r="G43" s="12" t="n">
        <v>3</v>
      </c>
      <c r="H43" s="12" t="n">
        <v>12000</v>
      </c>
      <c r="I43" s="12" t="n">
        <v>0.15</v>
      </c>
      <c r="J43" s="12" t="s">
        <v>87</v>
      </c>
    </row>
    <row r="44" customFormat="false" ht="15" hidden="false" customHeight="false" outlineLevel="0" collapsed="false">
      <c r="A44" s="12" t="s">
        <v>164</v>
      </c>
      <c r="B44" s="12" t="s">
        <v>165</v>
      </c>
      <c r="C44" s="12" t="s">
        <v>146</v>
      </c>
      <c r="D44" s="12" t="s">
        <v>37</v>
      </c>
      <c r="E44" s="12" t="s">
        <v>32</v>
      </c>
      <c r="F44" s="12" t="s">
        <v>95</v>
      </c>
      <c r="G44" s="12" t="n">
        <v>2</v>
      </c>
      <c r="H44" s="12" t="n">
        <v>180</v>
      </c>
      <c r="I44" s="12" t="n">
        <v>0.05</v>
      </c>
      <c r="J44" s="12" t="s">
        <v>87</v>
      </c>
    </row>
    <row r="45" customFormat="false" ht="15" hidden="false" customHeight="false" outlineLevel="0" collapsed="false">
      <c r="A45" s="12" t="s">
        <v>182</v>
      </c>
      <c r="B45" s="12" t="s">
        <v>183</v>
      </c>
      <c r="C45" s="12" t="s">
        <v>99</v>
      </c>
      <c r="D45" s="12" t="s">
        <v>139</v>
      </c>
      <c r="E45" s="12" t="s">
        <v>25</v>
      </c>
      <c r="F45" s="12" t="s">
        <v>100</v>
      </c>
      <c r="G45" s="12" t="n">
        <v>2</v>
      </c>
      <c r="H45" s="12" t="n">
        <v>55000</v>
      </c>
      <c r="I45" s="12" t="n">
        <v>0</v>
      </c>
      <c r="J45" s="12" t="s">
        <v>91</v>
      </c>
    </row>
    <row r="47" customFormat="false" ht="15" hidden="false" customHeight="false" outlineLevel="0" collapsed="false">
      <c r="A47" s="2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52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6" t="s">
        <v>194</v>
      </c>
    </row>
    <row r="3" customFormat="false" ht="15" hidden="false" customHeight="false" outlineLevel="0" collapsed="false">
      <c r="A3" s="5" t="s">
        <v>44</v>
      </c>
      <c r="B3" s="5" t="s">
        <v>195</v>
      </c>
      <c r="C3" s="5" t="s">
        <v>196</v>
      </c>
      <c r="D3" s="5" t="s">
        <v>197</v>
      </c>
      <c r="E3" s="5" t="s">
        <v>198</v>
      </c>
    </row>
    <row r="4" customFormat="false" ht="33.75" hidden="false" customHeight="true" outlineLevel="0" collapsed="false">
      <c r="A4" s="17" t="n">
        <v>1</v>
      </c>
      <c r="B4" s="17" t="s">
        <v>199</v>
      </c>
      <c r="C4" s="17" t="n">
        <v>4</v>
      </c>
      <c r="D4" s="17" t="s">
        <v>200</v>
      </c>
      <c r="E4" s="17" t="s">
        <v>201</v>
      </c>
    </row>
    <row r="5" customFormat="false" ht="33.75" hidden="false" customHeight="true" outlineLevel="0" collapsed="false">
      <c r="A5" s="17" t="n">
        <v>2</v>
      </c>
      <c r="B5" s="17" t="s">
        <v>202</v>
      </c>
      <c r="C5" s="17" t="n">
        <v>40</v>
      </c>
      <c r="D5" s="17" t="s">
        <v>203</v>
      </c>
      <c r="E5" s="17" t="s">
        <v>204</v>
      </c>
    </row>
    <row r="6" customFormat="false" ht="33.75" hidden="false" customHeight="true" outlineLevel="0" collapsed="false">
      <c r="A6" s="17" t="n">
        <v>3</v>
      </c>
      <c r="B6" s="17" t="s">
        <v>205</v>
      </c>
      <c r="C6" s="17" t="n">
        <v>12</v>
      </c>
      <c r="D6" s="17" t="s">
        <v>206</v>
      </c>
      <c r="E6" s="17" t="s">
        <v>207</v>
      </c>
    </row>
    <row r="7" customFormat="false" ht="33.75" hidden="false" customHeight="true" outlineLevel="0" collapsed="false">
      <c r="A7" s="17" t="n">
        <v>4</v>
      </c>
      <c r="B7" s="17" t="s">
        <v>208</v>
      </c>
      <c r="C7" s="17" t="n">
        <v>2</v>
      </c>
      <c r="D7" s="17" t="s">
        <v>209</v>
      </c>
      <c r="E7" s="17" t="s">
        <v>210</v>
      </c>
    </row>
    <row r="8" customFormat="false" ht="33.75" hidden="false" customHeight="true" outlineLevel="0" collapsed="false">
      <c r="A8" s="17" t="n">
        <v>5</v>
      </c>
      <c r="B8" s="17" t="s">
        <v>211</v>
      </c>
      <c r="C8" s="17" t="n">
        <v>5</v>
      </c>
      <c r="D8" s="17" t="s">
        <v>212</v>
      </c>
      <c r="E8" s="17" t="s">
        <v>213</v>
      </c>
    </row>
    <row r="9" customFormat="false" ht="33.75" hidden="false" customHeight="true" outlineLevel="0" collapsed="false">
      <c r="A9" s="17" t="n">
        <v>6</v>
      </c>
      <c r="B9" s="17" t="s">
        <v>214</v>
      </c>
      <c r="C9" s="17" t="n">
        <v>7</v>
      </c>
      <c r="D9" s="17" t="s">
        <v>215</v>
      </c>
      <c r="E9" s="17" t="s">
        <v>216</v>
      </c>
    </row>
    <row r="10" customFormat="false" ht="33.75" hidden="false" customHeight="true" outlineLevel="0" collapsed="false">
      <c r="A10" s="17" t="n">
        <v>7</v>
      </c>
      <c r="B10" s="17" t="s">
        <v>217</v>
      </c>
      <c r="C10" s="17" t="n">
        <v>2</v>
      </c>
      <c r="D10" s="17" t="s">
        <v>218</v>
      </c>
      <c r="E10" s="17" t="s">
        <v>219</v>
      </c>
    </row>
    <row r="11" customFormat="false" ht="33.75" hidden="false" customHeight="true" outlineLevel="0" collapsed="false">
      <c r="A11" s="17" t="n">
        <v>8</v>
      </c>
      <c r="B11" s="17" t="s">
        <v>220</v>
      </c>
      <c r="C11" s="17" t="n">
        <v>1</v>
      </c>
      <c r="D11" s="17" t="s">
        <v>221</v>
      </c>
      <c r="E11" s="17" t="s">
        <v>222</v>
      </c>
    </row>
    <row r="12" customFormat="false" ht="33.75" hidden="false" customHeight="true" outlineLevel="0" collapsed="false">
      <c r="A12" s="17" t="n">
        <v>9</v>
      </c>
      <c r="B12" s="17" t="s">
        <v>223</v>
      </c>
      <c r="C12" s="17" t="n">
        <v>1</v>
      </c>
      <c r="D12" s="17" t="s">
        <v>224</v>
      </c>
      <c r="E12" s="17" t="s">
        <v>225</v>
      </c>
    </row>
    <row r="14" customFormat="false" ht="15" hidden="false" customHeight="false" outlineLevel="0" collapsed="false">
      <c r="B14" s="3" t="s">
        <v>226</v>
      </c>
      <c r="C14" s="12" t="n">
        <f aca="false">COUNTA(2_Raw_Data!A2:A45)</f>
        <v>44</v>
      </c>
    </row>
    <row r="15" customFormat="false" ht="15" hidden="false" customHeight="false" outlineLevel="0" collapsed="false">
      <c r="B15" s="3" t="s">
        <v>227</v>
      </c>
      <c r="C15" s="12" t="n">
        <f aca="false">COUNTA(4_Clean_Data!A2:A41)</f>
        <v>40</v>
      </c>
    </row>
    <row r="16" customFormat="false" ht="15" hidden="false" customHeight="false" outlineLevel="0" collapsed="false">
      <c r="B16" s="3" t="s">
        <v>228</v>
      </c>
      <c r="C16" s="12" t="n">
        <f aca="false">C14-C15</f>
        <v>4</v>
      </c>
    </row>
    <row r="18" customFormat="false" ht="15" hidden="false" customHeight="false" outlineLevel="0" collapsed="false">
      <c r="B18" s="2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5" t="s">
        <v>73</v>
      </c>
      <c r="B1" s="5" t="s">
        <v>74</v>
      </c>
      <c r="C1" s="5" t="s">
        <v>75</v>
      </c>
      <c r="D1" s="5" t="s">
        <v>34</v>
      </c>
      <c r="E1" s="5" t="s">
        <v>23</v>
      </c>
      <c r="F1" s="5" t="s">
        <v>76</v>
      </c>
      <c r="G1" s="5" t="s">
        <v>77</v>
      </c>
      <c r="H1" s="5" t="s">
        <v>78</v>
      </c>
      <c r="I1" s="5" t="s">
        <v>79</v>
      </c>
      <c r="J1" s="5" t="s">
        <v>80</v>
      </c>
      <c r="K1" s="5" t="s">
        <v>15</v>
      </c>
      <c r="L1" s="18" t="s">
        <v>14</v>
      </c>
    </row>
    <row r="2" customFormat="false" ht="15" hidden="false" customHeight="false" outlineLevel="0" collapsed="false">
      <c r="A2" s="12" t="s">
        <v>81</v>
      </c>
      <c r="B2" s="19" t="n">
        <v>46223</v>
      </c>
      <c r="C2" s="12" t="s">
        <v>144</v>
      </c>
      <c r="D2" s="12" t="s">
        <v>36</v>
      </c>
      <c r="E2" s="12" t="s">
        <v>30</v>
      </c>
      <c r="F2" s="12" t="s">
        <v>85</v>
      </c>
      <c r="G2" s="12" t="n">
        <v>2</v>
      </c>
      <c r="H2" s="20" t="n">
        <v>12000</v>
      </c>
      <c r="I2" s="21" t="n">
        <v>0.15</v>
      </c>
      <c r="J2" s="12" t="s">
        <v>87</v>
      </c>
      <c r="K2" s="20" t="n">
        <f aca="false">G2*H2*(1-I2)</f>
        <v>20400</v>
      </c>
      <c r="L2" s="22" t="n">
        <f aca="false">DATE(YEAR(B2),MONTH(B2),1)</f>
        <v>46204</v>
      </c>
    </row>
    <row r="3" customFormat="false" ht="15" hidden="false" customHeight="false" outlineLevel="0" collapsed="false">
      <c r="A3" s="12" t="s">
        <v>88</v>
      </c>
      <c r="B3" s="19" t="n">
        <v>46278</v>
      </c>
      <c r="C3" s="12" t="s">
        <v>90</v>
      </c>
      <c r="D3" s="12" t="s">
        <v>37</v>
      </c>
      <c r="E3" s="12" t="s">
        <v>30</v>
      </c>
      <c r="F3" s="12" t="s">
        <v>85</v>
      </c>
      <c r="G3" s="12" t="n">
        <v>1</v>
      </c>
      <c r="H3" s="20" t="n">
        <v>12000</v>
      </c>
      <c r="I3" s="21" t="n">
        <v>0</v>
      </c>
      <c r="J3" s="12" t="s">
        <v>91</v>
      </c>
      <c r="K3" s="20" t="n">
        <f aca="false">G3*H3*(1-I3)</f>
        <v>12000</v>
      </c>
      <c r="L3" s="22" t="n">
        <f aca="false">DATE(YEAR(B3),MONTH(B3),1)</f>
        <v>46266</v>
      </c>
    </row>
    <row r="4" customFormat="false" ht="15" hidden="false" customHeight="false" outlineLevel="0" collapsed="false">
      <c r="A4" s="12" t="s">
        <v>92</v>
      </c>
      <c r="B4" s="19" t="n">
        <v>46212</v>
      </c>
      <c r="C4" s="12" t="s">
        <v>94</v>
      </c>
      <c r="D4" s="12" t="s">
        <v>36</v>
      </c>
      <c r="E4" s="12" t="s">
        <v>31</v>
      </c>
      <c r="F4" s="12" t="s">
        <v>95</v>
      </c>
      <c r="G4" s="12" t="n">
        <v>7</v>
      </c>
      <c r="H4" s="20" t="n">
        <v>350</v>
      </c>
      <c r="I4" s="21" t="n">
        <v>0</v>
      </c>
      <c r="J4" s="12" t="s">
        <v>96</v>
      </c>
      <c r="K4" s="20" t="n">
        <f aca="false">G4*H4*(1-I4)</f>
        <v>2450</v>
      </c>
      <c r="L4" s="22" t="n">
        <f aca="false">DATE(YEAR(B4),MONTH(B4),1)</f>
        <v>46204</v>
      </c>
    </row>
    <row r="5" customFormat="false" ht="15" hidden="false" customHeight="false" outlineLevel="0" collapsed="false">
      <c r="A5" s="12" t="s">
        <v>97</v>
      </c>
      <c r="B5" s="19" t="n">
        <v>46232</v>
      </c>
      <c r="C5" s="12" t="s">
        <v>99</v>
      </c>
      <c r="D5" s="12" t="s">
        <v>40</v>
      </c>
      <c r="E5" s="12" t="s">
        <v>26</v>
      </c>
      <c r="F5" s="12" t="s">
        <v>100</v>
      </c>
      <c r="G5" s="12" t="n">
        <v>7</v>
      </c>
      <c r="H5" s="20" t="n">
        <v>22000</v>
      </c>
      <c r="I5" s="21" t="n">
        <v>0</v>
      </c>
      <c r="J5" s="12" t="s">
        <v>87</v>
      </c>
      <c r="K5" s="20" t="n">
        <f aca="false">G5*H5*(1-I5)</f>
        <v>154000</v>
      </c>
      <c r="L5" s="22" t="n">
        <f aca="false">DATE(YEAR(B5),MONTH(B5),1)</f>
        <v>46204</v>
      </c>
    </row>
    <row r="6" customFormat="false" ht="15" hidden="false" customHeight="false" outlineLevel="0" collapsed="false">
      <c r="A6" s="12" t="s">
        <v>101</v>
      </c>
      <c r="B6" s="19" t="n">
        <v>46275</v>
      </c>
      <c r="C6" s="12" t="s">
        <v>103</v>
      </c>
      <c r="D6" s="12" t="s">
        <v>38</v>
      </c>
      <c r="E6" s="12" t="s">
        <v>25</v>
      </c>
      <c r="F6" s="12" t="s">
        <v>100</v>
      </c>
      <c r="G6" s="12" t="n">
        <v>7</v>
      </c>
      <c r="H6" s="20" t="n">
        <v>55000</v>
      </c>
      <c r="I6" s="21" t="n">
        <v>0</v>
      </c>
      <c r="J6" s="12" t="s">
        <v>96</v>
      </c>
      <c r="K6" s="20" t="n">
        <f aca="false">G6*H6*(1-I6)</f>
        <v>385000</v>
      </c>
      <c r="L6" s="22" t="n">
        <f aca="false">DATE(YEAR(B6),MONTH(B6),1)</f>
        <v>46266</v>
      </c>
    </row>
    <row r="7" customFormat="false" ht="15" hidden="false" customHeight="false" outlineLevel="0" collapsed="false">
      <c r="A7" s="12" t="s">
        <v>104</v>
      </c>
      <c r="B7" s="19" t="n">
        <v>46277</v>
      </c>
      <c r="C7" s="12" t="s">
        <v>106</v>
      </c>
      <c r="D7" s="12" t="s">
        <v>37</v>
      </c>
      <c r="E7" s="12" t="s">
        <v>26</v>
      </c>
      <c r="F7" s="12" t="s">
        <v>100</v>
      </c>
      <c r="G7" s="12" t="n">
        <v>2</v>
      </c>
      <c r="H7" s="20" t="n">
        <v>22000</v>
      </c>
      <c r="I7" s="21" t="n">
        <v>0.15</v>
      </c>
      <c r="J7" s="12" t="s">
        <v>96</v>
      </c>
      <c r="K7" s="20" t="n">
        <f aca="false">G7*H7*(1-I7)</f>
        <v>37400</v>
      </c>
      <c r="L7" s="22" t="n">
        <f aca="false">DATE(YEAR(B7),MONTH(B7),1)</f>
        <v>46266</v>
      </c>
    </row>
    <row r="8" customFormat="false" ht="15" hidden="false" customHeight="false" outlineLevel="0" collapsed="false">
      <c r="A8" s="12" t="s">
        <v>108</v>
      </c>
      <c r="B8" s="19" t="n">
        <v>46251</v>
      </c>
      <c r="C8" s="12" t="s">
        <v>110</v>
      </c>
      <c r="D8" s="12" t="s">
        <v>36</v>
      </c>
      <c r="E8" s="12" t="s">
        <v>28</v>
      </c>
      <c r="F8" s="12" t="s">
        <v>111</v>
      </c>
      <c r="G8" s="12" t="n">
        <v>1</v>
      </c>
      <c r="H8" s="20" t="n">
        <v>1200</v>
      </c>
      <c r="I8" s="21" t="n">
        <v>0.15</v>
      </c>
      <c r="J8" s="12" t="s">
        <v>87</v>
      </c>
      <c r="K8" s="20" t="n">
        <f aca="false">G8*H8*(1-I8)</f>
        <v>1020</v>
      </c>
      <c r="L8" s="22" t="n">
        <f aca="false">DATE(YEAR(B8),MONTH(B8),1)</f>
        <v>46235</v>
      </c>
    </row>
    <row r="9" customFormat="false" ht="15" hidden="false" customHeight="false" outlineLevel="0" collapsed="false">
      <c r="A9" s="12" t="s">
        <v>113</v>
      </c>
      <c r="B9" s="19" t="n">
        <v>46291</v>
      </c>
      <c r="C9" s="12" t="s">
        <v>115</v>
      </c>
      <c r="D9" s="12" t="s">
        <v>39</v>
      </c>
      <c r="E9" s="12" t="s">
        <v>32</v>
      </c>
      <c r="F9" s="12" t="s">
        <v>95</v>
      </c>
      <c r="G9" s="12" t="n">
        <v>6</v>
      </c>
      <c r="H9" s="20" t="n">
        <v>180</v>
      </c>
      <c r="I9" s="21" t="n">
        <v>0.1</v>
      </c>
      <c r="J9" s="12" t="s">
        <v>96</v>
      </c>
      <c r="K9" s="20" t="n">
        <f aca="false">G9*H9*(1-I9)</f>
        <v>972</v>
      </c>
      <c r="L9" s="22" t="n">
        <f aca="false">DATE(YEAR(B9),MONTH(B9),1)</f>
        <v>46266</v>
      </c>
    </row>
    <row r="10" customFormat="false" ht="15" hidden="false" customHeight="false" outlineLevel="0" collapsed="false">
      <c r="A10" s="12" t="s">
        <v>117</v>
      </c>
      <c r="B10" s="19" t="n">
        <v>46250</v>
      </c>
      <c r="C10" s="12" t="s">
        <v>106</v>
      </c>
      <c r="D10" s="12" t="s">
        <v>37</v>
      </c>
      <c r="E10" s="12" t="s">
        <v>32</v>
      </c>
      <c r="F10" s="12" t="s">
        <v>95</v>
      </c>
      <c r="G10" s="12" t="n">
        <v>5</v>
      </c>
      <c r="H10" s="20" t="n">
        <v>180</v>
      </c>
      <c r="I10" s="21" t="n">
        <v>0</v>
      </c>
      <c r="J10" s="12" t="s">
        <v>87</v>
      </c>
      <c r="K10" s="20" t="n">
        <f aca="false">G10*H10*(1-I10)</f>
        <v>900</v>
      </c>
      <c r="L10" s="22" t="n">
        <f aca="false">DATE(YEAR(B10),MONTH(B10),1)</f>
        <v>46235</v>
      </c>
    </row>
    <row r="11" customFormat="false" ht="15" hidden="false" customHeight="false" outlineLevel="0" collapsed="false">
      <c r="A11" s="12" t="s">
        <v>119</v>
      </c>
      <c r="B11" s="19" t="n">
        <v>46271</v>
      </c>
      <c r="C11" s="12" t="s">
        <v>129</v>
      </c>
      <c r="D11" s="12" t="s">
        <v>38</v>
      </c>
      <c r="E11" s="12" t="s">
        <v>29</v>
      </c>
      <c r="F11" s="12" t="s">
        <v>85</v>
      </c>
      <c r="G11" s="12" t="n">
        <v>8</v>
      </c>
      <c r="H11" s="20" t="n">
        <v>8500</v>
      </c>
      <c r="I11" s="21" t="n">
        <v>0.05</v>
      </c>
      <c r="J11" s="12" t="s">
        <v>96</v>
      </c>
      <c r="K11" s="20" t="n">
        <f aca="false">G11*H11*(1-I11)</f>
        <v>64600</v>
      </c>
      <c r="L11" s="22" t="n">
        <f aca="false">DATE(YEAR(B11),MONTH(B11),1)</f>
        <v>46266</v>
      </c>
    </row>
    <row r="12" customFormat="false" ht="15" hidden="false" customHeight="false" outlineLevel="0" collapsed="false">
      <c r="A12" s="12" t="s">
        <v>122</v>
      </c>
      <c r="B12" s="19" t="n">
        <v>46219</v>
      </c>
      <c r="C12" s="12" t="s">
        <v>115</v>
      </c>
      <c r="D12" s="12" t="s">
        <v>39</v>
      </c>
      <c r="E12" s="12" t="s">
        <v>26</v>
      </c>
      <c r="F12" s="12" t="s">
        <v>100</v>
      </c>
      <c r="G12" s="12" t="n">
        <v>3</v>
      </c>
      <c r="H12" s="20" t="n">
        <v>22000</v>
      </c>
      <c r="I12" s="21" t="n">
        <v>0.05</v>
      </c>
      <c r="J12" s="12" t="s">
        <v>87</v>
      </c>
      <c r="K12" s="20" t="n">
        <f aca="false">G12*H12*(1-I12)</f>
        <v>62700</v>
      </c>
      <c r="L12" s="22" t="n">
        <f aca="false">DATE(YEAR(B12),MONTH(B12),1)</f>
        <v>46204</v>
      </c>
    </row>
    <row r="13" customFormat="false" ht="15" hidden="false" customHeight="false" outlineLevel="0" collapsed="false">
      <c r="A13" s="12" t="s">
        <v>125</v>
      </c>
      <c r="B13" s="19" t="n">
        <v>46257</v>
      </c>
      <c r="C13" s="12" t="s">
        <v>90</v>
      </c>
      <c r="D13" s="12" t="s">
        <v>40</v>
      </c>
      <c r="E13" s="12" t="s">
        <v>32</v>
      </c>
      <c r="F13" s="12" t="s">
        <v>95</v>
      </c>
      <c r="G13" s="12" t="n">
        <v>6</v>
      </c>
      <c r="H13" s="20" t="n">
        <v>180</v>
      </c>
      <c r="I13" s="21" t="n">
        <v>0.05</v>
      </c>
      <c r="J13" s="12" t="s">
        <v>87</v>
      </c>
      <c r="K13" s="20" t="n">
        <f aca="false">G13*H13*(1-I13)</f>
        <v>1026</v>
      </c>
      <c r="L13" s="22" t="n">
        <f aca="false">DATE(YEAR(B13),MONTH(B13),1)</f>
        <v>46235</v>
      </c>
    </row>
    <row r="14" customFormat="false" ht="15" hidden="false" customHeight="false" outlineLevel="0" collapsed="false">
      <c r="A14" s="12" t="s">
        <v>127</v>
      </c>
      <c r="B14" s="19" t="n">
        <v>46278</v>
      </c>
      <c r="C14" s="12" t="s">
        <v>129</v>
      </c>
      <c r="D14" s="12" t="s">
        <v>36</v>
      </c>
      <c r="E14" s="12" t="s">
        <v>32</v>
      </c>
      <c r="F14" s="12" t="s">
        <v>95</v>
      </c>
      <c r="G14" s="12" t="n">
        <v>2</v>
      </c>
      <c r="H14" s="20" t="n">
        <v>180</v>
      </c>
      <c r="I14" s="21" t="n">
        <v>0.05</v>
      </c>
      <c r="J14" s="12" t="s">
        <v>91</v>
      </c>
      <c r="K14" s="20" t="n">
        <f aca="false">G14*H14*(1-I14)</f>
        <v>342</v>
      </c>
      <c r="L14" s="22" t="n">
        <f aca="false">DATE(YEAR(B14),MONTH(B14),1)</f>
        <v>46266</v>
      </c>
    </row>
    <row r="15" customFormat="false" ht="15" hidden="false" customHeight="false" outlineLevel="0" collapsed="false">
      <c r="A15" s="12" t="s">
        <v>131</v>
      </c>
      <c r="B15" s="19" t="n">
        <v>46211</v>
      </c>
      <c r="C15" s="12" t="s">
        <v>133</v>
      </c>
      <c r="D15" s="12" t="s">
        <v>38</v>
      </c>
      <c r="E15" s="12" t="s">
        <v>26</v>
      </c>
      <c r="F15" s="12" t="s">
        <v>100</v>
      </c>
      <c r="G15" s="12" t="n">
        <v>8</v>
      </c>
      <c r="H15" s="20" t="n">
        <v>22000</v>
      </c>
      <c r="I15" s="21" t="n">
        <v>0.05</v>
      </c>
      <c r="J15" s="12" t="s">
        <v>91</v>
      </c>
      <c r="K15" s="20" t="n">
        <f aca="false">G15*H15*(1-I15)</f>
        <v>167200</v>
      </c>
      <c r="L15" s="22" t="n">
        <f aca="false">DATE(YEAR(B15),MONTH(B15),1)</f>
        <v>46204</v>
      </c>
    </row>
    <row r="16" customFormat="false" ht="15" hidden="false" customHeight="false" outlineLevel="0" collapsed="false">
      <c r="A16" s="12" t="s">
        <v>134</v>
      </c>
      <c r="B16" s="19" t="n">
        <v>46206</v>
      </c>
      <c r="C16" s="12" t="s">
        <v>129</v>
      </c>
      <c r="D16" s="12" t="s">
        <v>38</v>
      </c>
      <c r="E16" s="12" t="s">
        <v>30</v>
      </c>
      <c r="F16" s="12" t="s">
        <v>85</v>
      </c>
      <c r="G16" s="12" t="n">
        <v>3</v>
      </c>
      <c r="H16" s="20" t="n">
        <v>12000</v>
      </c>
      <c r="I16" s="21" t="n">
        <v>0.15</v>
      </c>
      <c r="J16" s="12" t="s">
        <v>87</v>
      </c>
      <c r="K16" s="20" t="n">
        <f aca="false">G16*H16*(1-I16)</f>
        <v>30600</v>
      </c>
      <c r="L16" s="22" t="n">
        <f aca="false">DATE(YEAR(B16),MONTH(B16),1)</f>
        <v>46204</v>
      </c>
    </row>
    <row r="17" customFormat="false" ht="15" hidden="false" customHeight="false" outlineLevel="0" collapsed="false">
      <c r="A17" s="12" t="s">
        <v>137</v>
      </c>
      <c r="B17" s="19" t="n">
        <v>46211</v>
      </c>
      <c r="C17" s="12" t="s">
        <v>94</v>
      </c>
      <c r="D17" s="12" t="s">
        <v>38</v>
      </c>
      <c r="E17" s="12" t="s">
        <v>32</v>
      </c>
      <c r="F17" s="12" t="s">
        <v>95</v>
      </c>
      <c r="G17" s="12" t="n">
        <v>3</v>
      </c>
      <c r="H17" s="20" t="n">
        <v>180</v>
      </c>
      <c r="I17" s="21" t="n">
        <v>0</v>
      </c>
      <c r="J17" s="12" t="s">
        <v>91</v>
      </c>
      <c r="K17" s="20" t="n">
        <f aca="false">G17*H17*(1-I17)</f>
        <v>540</v>
      </c>
      <c r="L17" s="22" t="n">
        <f aca="false">DATE(YEAR(B17),MONTH(B17),1)</f>
        <v>46204</v>
      </c>
    </row>
    <row r="18" customFormat="false" ht="15" hidden="false" customHeight="false" outlineLevel="0" collapsed="false">
      <c r="A18" s="12" t="s">
        <v>140</v>
      </c>
      <c r="B18" s="19" t="n">
        <v>46267</v>
      </c>
      <c r="C18" s="12" t="s">
        <v>110</v>
      </c>
      <c r="D18" s="12" t="s">
        <v>37</v>
      </c>
      <c r="E18" s="12" t="s">
        <v>31</v>
      </c>
      <c r="F18" s="12" t="s">
        <v>95</v>
      </c>
      <c r="G18" s="12" t="n">
        <v>8</v>
      </c>
      <c r="H18" s="20" t="n">
        <v>350</v>
      </c>
      <c r="I18" s="21" t="n">
        <v>0.1</v>
      </c>
      <c r="J18" s="12" t="s">
        <v>96</v>
      </c>
      <c r="K18" s="20" t="n">
        <f aca="false">G18*H18*(1-I18)</f>
        <v>2520</v>
      </c>
      <c r="L18" s="22" t="n">
        <f aca="false">DATE(YEAR(B18),MONTH(B18),1)</f>
        <v>46266</v>
      </c>
    </row>
    <row r="19" customFormat="false" ht="15" hidden="false" customHeight="false" outlineLevel="0" collapsed="false">
      <c r="A19" s="12" t="s">
        <v>142</v>
      </c>
      <c r="B19" s="19" t="n">
        <v>46221</v>
      </c>
      <c r="C19" s="12" t="s">
        <v>144</v>
      </c>
      <c r="D19" s="12" t="s">
        <v>38</v>
      </c>
      <c r="E19" s="12" t="s">
        <v>29</v>
      </c>
      <c r="F19" s="12" t="s">
        <v>85</v>
      </c>
      <c r="G19" s="12" t="n">
        <v>7</v>
      </c>
      <c r="H19" s="20" t="n">
        <v>8500</v>
      </c>
      <c r="I19" s="21" t="n">
        <v>0.05</v>
      </c>
      <c r="J19" s="12" t="s">
        <v>91</v>
      </c>
      <c r="K19" s="20" t="n">
        <f aca="false">G19*H19*(1-I19)</f>
        <v>56525</v>
      </c>
      <c r="L19" s="22" t="n">
        <f aca="false">DATE(YEAR(B19),MONTH(B19),1)</f>
        <v>46204</v>
      </c>
    </row>
    <row r="20" customFormat="false" ht="15" hidden="false" customHeight="false" outlineLevel="0" collapsed="false">
      <c r="A20" s="12" t="s">
        <v>145</v>
      </c>
      <c r="B20" s="19" t="n">
        <v>46223</v>
      </c>
      <c r="C20" s="12" t="s">
        <v>110</v>
      </c>
      <c r="D20" s="12" t="s">
        <v>37</v>
      </c>
      <c r="E20" s="12" t="s">
        <v>28</v>
      </c>
      <c r="F20" s="12" t="s">
        <v>111</v>
      </c>
      <c r="G20" s="12" t="n">
        <v>3</v>
      </c>
      <c r="H20" s="20" t="n">
        <v>1200</v>
      </c>
      <c r="I20" s="21" t="n">
        <v>0</v>
      </c>
      <c r="J20" s="12" t="s">
        <v>87</v>
      </c>
      <c r="K20" s="20" t="n">
        <f aca="false">G20*H20*(1-I20)</f>
        <v>3600</v>
      </c>
      <c r="L20" s="22" t="n">
        <f aca="false">DATE(YEAR(B20),MONTH(B20),1)</f>
        <v>46204</v>
      </c>
    </row>
    <row r="21" customFormat="false" ht="15" hidden="false" customHeight="false" outlineLevel="0" collapsed="false">
      <c r="A21" s="12" t="s">
        <v>147</v>
      </c>
      <c r="B21" s="19" t="n">
        <v>46266</v>
      </c>
      <c r="C21" s="12" t="s">
        <v>149</v>
      </c>
      <c r="D21" s="12" t="s">
        <v>37</v>
      </c>
      <c r="E21" s="12" t="s">
        <v>25</v>
      </c>
      <c r="F21" s="12" t="s">
        <v>100</v>
      </c>
      <c r="G21" s="12" t="n">
        <v>5</v>
      </c>
      <c r="H21" s="20" t="n">
        <v>55000</v>
      </c>
      <c r="I21" s="21" t="n">
        <v>0.05</v>
      </c>
      <c r="J21" s="12" t="s">
        <v>87</v>
      </c>
      <c r="K21" s="20" t="n">
        <f aca="false">G21*H21*(1-I21)</f>
        <v>261250</v>
      </c>
      <c r="L21" s="22" t="n">
        <f aca="false">DATE(YEAR(B21),MONTH(B21),1)</f>
        <v>46266</v>
      </c>
    </row>
    <row r="22" customFormat="false" ht="15" hidden="false" customHeight="false" outlineLevel="0" collapsed="false">
      <c r="A22" s="12" t="s">
        <v>150</v>
      </c>
      <c r="B22" s="19" t="n">
        <v>46257</v>
      </c>
      <c r="C22" s="12" t="s">
        <v>115</v>
      </c>
      <c r="D22" s="12" t="s">
        <v>38</v>
      </c>
      <c r="E22" s="12" t="s">
        <v>27</v>
      </c>
      <c r="F22" s="12" t="s">
        <v>111</v>
      </c>
      <c r="G22" s="12" t="n">
        <v>6</v>
      </c>
      <c r="H22" s="20" t="n">
        <v>2500</v>
      </c>
      <c r="I22" s="21" t="n">
        <v>0</v>
      </c>
      <c r="J22" s="12" t="s">
        <v>96</v>
      </c>
      <c r="K22" s="20" t="n">
        <f aca="false">G22*H22*(1-I22)</f>
        <v>15000</v>
      </c>
      <c r="L22" s="22" t="n">
        <f aca="false">DATE(YEAR(B22),MONTH(B22),1)</f>
        <v>46235</v>
      </c>
    </row>
    <row r="23" customFormat="false" ht="15" hidden="false" customHeight="false" outlineLevel="0" collapsed="false">
      <c r="A23" s="12" t="s">
        <v>151</v>
      </c>
      <c r="B23" s="19" t="n">
        <v>46262</v>
      </c>
      <c r="C23" s="12" t="s">
        <v>99</v>
      </c>
      <c r="D23" s="12" t="s">
        <v>39</v>
      </c>
      <c r="E23" s="12" t="s">
        <v>25</v>
      </c>
      <c r="F23" s="12" t="s">
        <v>100</v>
      </c>
      <c r="G23" s="12" t="n">
        <v>7</v>
      </c>
      <c r="H23" s="20" t="n">
        <v>55000</v>
      </c>
      <c r="I23" s="21" t="n">
        <v>0.1</v>
      </c>
      <c r="J23" s="12" t="s">
        <v>91</v>
      </c>
      <c r="K23" s="20" t="n">
        <f aca="false">G23*H23*(1-I23)</f>
        <v>346500</v>
      </c>
      <c r="L23" s="22" t="n">
        <f aca="false">DATE(YEAR(B23),MONTH(B23),1)</f>
        <v>46235</v>
      </c>
    </row>
    <row r="24" customFormat="false" ht="15" hidden="false" customHeight="false" outlineLevel="0" collapsed="false">
      <c r="A24" s="12" t="s">
        <v>153</v>
      </c>
      <c r="B24" s="19" t="n">
        <v>46265</v>
      </c>
      <c r="C24" s="12" t="s">
        <v>99</v>
      </c>
      <c r="D24" s="12" t="s">
        <v>39</v>
      </c>
      <c r="E24" s="12" t="s">
        <v>26</v>
      </c>
      <c r="F24" s="12" t="s">
        <v>100</v>
      </c>
      <c r="G24" s="12" t="n">
        <v>5</v>
      </c>
      <c r="H24" s="20" t="n">
        <v>22000</v>
      </c>
      <c r="I24" s="21" t="n">
        <v>0</v>
      </c>
      <c r="J24" s="12" t="s">
        <v>87</v>
      </c>
      <c r="K24" s="20" t="n">
        <f aca="false">G24*H24*(1-I24)</f>
        <v>110000</v>
      </c>
      <c r="L24" s="22" t="n">
        <f aca="false">DATE(YEAR(B24),MONTH(B24),1)</f>
        <v>46235</v>
      </c>
    </row>
    <row r="25" customFormat="false" ht="15" hidden="false" customHeight="false" outlineLevel="0" collapsed="false">
      <c r="A25" s="12" t="s">
        <v>155</v>
      </c>
      <c r="B25" s="19" t="n">
        <v>46260</v>
      </c>
      <c r="C25" s="12" t="s">
        <v>103</v>
      </c>
      <c r="D25" s="12" t="s">
        <v>36</v>
      </c>
      <c r="E25" s="12" t="s">
        <v>28</v>
      </c>
      <c r="F25" s="12" t="s">
        <v>111</v>
      </c>
      <c r="G25" s="12" t="n">
        <v>6</v>
      </c>
      <c r="H25" s="20" t="n">
        <v>1200</v>
      </c>
      <c r="I25" s="21" t="n">
        <v>0.15</v>
      </c>
      <c r="J25" s="12" t="s">
        <v>87</v>
      </c>
      <c r="K25" s="20" t="n">
        <f aca="false">G25*H25*(1-I25)</f>
        <v>6120</v>
      </c>
      <c r="L25" s="22" t="n">
        <f aca="false">DATE(YEAR(B25),MONTH(B25),1)</f>
        <v>46235</v>
      </c>
    </row>
    <row r="26" customFormat="false" ht="15" hidden="false" customHeight="false" outlineLevel="0" collapsed="false">
      <c r="A26" s="12" t="s">
        <v>157</v>
      </c>
      <c r="B26" s="19" t="n">
        <v>46204</v>
      </c>
      <c r="C26" s="12" t="s">
        <v>149</v>
      </c>
      <c r="D26" s="12" t="s">
        <v>37</v>
      </c>
      <c r="E26" s="12" t="s">
        <v>26</v>
      </c>
      <c r="F26" s="12" t="s">
        <v>100</v>
      </c>
      <c r="G26" s="12" t="n">
        <v>2</v>
      </c>
      <c r="H26" s="20" t="n">
        <v>22000</v>
      </c>
      <c r="I26" s="21" t="n">
        <v>0.05</v>
      </c>
      <c r="J26" s="12" t="s">
        <v>96</v>
      </c>
      <c r="K26" s="20" t="n">
        <f aca="false">G26*H26*(1-I26)</f>
        <v>41800</v>
      </c>
      <c r="L26" s="22" t="n">
        <f aca="false">DATE(YEAR(B26),MONTH(B26),1)</f>
        <v>46204</v>
      </c>
    </row>
    <row r="27" customFormat="false" ht="15" hidden="false" customHeight="false" outlineLevel="0" collapsed="false">
      <c r="A27" s="12" t="s">
        <v>160</v>
      </c>
      <c r="B27" s="19" t="n">
        <v>46213</v>
      </c>
      <c r="C27" s="12" t="s">
        <v>94</v>
      </c>
      <c r="D27" s="12" t="s">
        <v>39</v>
      </c>
      <c r="E27" s="12" t="s">
        <v>25</v>
      </c>
      <c r="F27" s="12" t="s">
        <v>100</v>
      </c>
      <c r="G27" s="12" t="n">
        <v>3</v>
      </c>
      <c r="H27" s="20" t="n">
        <v>55000</v>
      </c>
      <c r="I27" s="21" t="n">
        <v>0.05</v>
      </c>
      <c r="J27" s="12" t="s">
        <v>87</v>
      </c>
      <c r="K27" s="20" t="n">
        <f aca="false">G27*H27*(1-I27)</f>
        <v>156750</v>
      </c>
      <c r="L27" s="22" t="n">
        <f aca="false">DATE(YEAR(B27),MONTH(B27),1)</f>
        <v>46204</v>
      </c>
    </row>
    <row r="28" customFormat="false" ht="15" hidden="false" customHeight="false" outlineLevel="0" collapsed="false">
      <c r="A28" s="12" t="s">
        <v>162</v>
      </c>
      <c r="B28" s="19" t="n">
        <v>46264</v>
      </c>
      <c r="C28" s="12" t="s">
        <v>110</v>
      </c>
      <c r="D28" s="12" t="s">
        <v>36</v>
      </c>
      <c r="E28" s="12" t="s">
        <v>30</v>
      </c>
      <c r="F28" s="12" t="s">
        <v>85</v>
      </c>
      <c r="G28" s="12" t="n">
        <v>8</v>
      </c>
      <c r="H28" s="20" t="n">
        <v>12000</v>
      </c>
      <c r="I28" s="21" t="n">
        <v>0.1</v>
      </c>
      <c r="J28" s="12" t="s">
        <v>91</v>
      </c>
      <c r="K28" s="20" t="n">
        <f aca="false">G28*H28*(1-I28)</f>
        <v>86400</v>
      </c>
      <c r="L28" s="22" t="n">
        <f aca="false">DATE(YEAR(B28),MONTH(B28),1)</f>
        <v>46235</v>
      </c>
    </row>
    <row r="29" customFormat="false" ht="15" hidden="false" customHeight="false" outlineLevel="0" collapsed="false">
      <c r="A29" s="12" t="s">
        <v>164</v>
      </c>
      <c r="B29" s="19" t="n">
        <v>46243</v>
      </c>
      <c r="C29" s="12" t="s">
        <v>110</v>
      </c>
      <c r="D29" s="12" t="s">
        <v>37</v>
      </c>
      <c r="E29" s="12" t="s">
        <v>32</v>
      </c>
      <c r="F29" s="12" t="s">
        <v>95</v>
      </c>
      <c r="G29" s="12" t="n">
        <v>2</v>
      </c>
      <c r="H29" s="20" t="n">
        <v>180</v>
      </c>
      <c r="I29" s="21" t="n">
        <v>0.05</v>
      </c>
      <c r="J29" s="12" t="s">
        <v>87</v>
      </c>
      <c r="K29" s="20" t="n">
        <f aca="false">G29*H29*(1-I29)</f>
        <v>342</v>
      </c>
      <c r="L29" s="22" t="n">
        <f aca="false">DATE(YEAR(B29),MONTH(B29),1)</f>
        <v>46235</v>
      </c>
    </row>
    <row r="30" customFormat="false" ht="15" hidden="false" customHeight="false" outlineLevel="0" collapsed="false">
      <c r="A30" s="12" t="s">
        <v>166</v>
      </c>
      <c r="B30" s="19" t="n">
        <v>46292</v>
      </c>
      <c r="C30" s="12" t="s">
        <v>103</v>
      </c>
      <c r="D30" s="12" t="s">
        <v>36</v>
      </c>
      <c r="E30" s="12" t="s">
        <v>32</v>
      </c>
      <c r="F30" s="12" t="s">
        <v>95</v>
      </c>
      <c r="G30" s="12" t="n">
        <v>4</v>
      </c>
      <c r="H30" s="20" t="n">
        <v>180</v>
      </c>
      <c r="I30" s="21" t="n">
        <v>0.15</v>
      </c>
      <c r="J30" s="12" t="s">
        <v>87</v>
      </c>
      <c r="K30" s="20" t="n">
        <f aca="false">G30*H30*(1-I30)</f>
        <v>612</v>
      </c>
      <c r="L30" s="22" t="n">
        <f aca="false">DATE(YEAR(B30),MONTH(B30),1)</f>
        <v>46266</v>
      </c>
    </row>
    <row r="31" customFormat="false" ht="15" hidden="false" customHeight="false" outlineLevel="0" collapsed="false">
      <c r="A31" s="12" t="s">
        <v>169</v>
      </c>
      <c r="B31" s="19" t="n">
        <v>46292</v>
      </c>
      <c r="C31" s="12" t="s">
        <v>115</v>
      </c>
      <c r="D31" s="12" t="s">
        <v>36</v>
      </c>
      <c r="E31" s="12" t="s">
        <v>27</v>
      </c>
      <c r="F31" s="12" t="s">
        <v>111</v>
      </c>
      <c r="G31" s="12" t="n">
        <v>5</v>
      </c>
      <c r="H31" s="20" t="n">
        <v>2500</v>
      </c>
      <c r="I31" s="21" t="n">
        <v>0</v>
      </c>
      <c r="J31" s="12" t="s">
        <v>87</v>
      </c>
      <c r="K31" s="20" t="n">
        <f aca="false">G31*H31*(1-I31)</f>
        <v>12500</v>
      </c>
      <c r="L31" s="22" t="n">
        <f aca="false">DATE(YEAR(B31),MONTH(B31),1)</f>
        <v>46266</v>
      </c>
    </row>
    <row r="32" customFormat="false" ht="15" hidden="false" customHeight="false" outlineLevel="0" collapsed="false">
      <c r="A32" s="12" t="s">
        <v>171</v>
      </c>
      <c r="B32" s="19" t="n">
        <v>46225</v>
      </c>
      <c r="C32" s="12" t="s">
        <v>173</v>
      </c>
      <c r="D32" s="12" t="s">
        <v>37</v>
      </c>
      <c r="E32" s="12" t="s">
        <v>30</v>
      </c>
      <c r="F32" s="12" t="s">
        <v>85</v>
      </c>
      <c r="G32" s="12" t="n">
        <v>6</v>
      </c>
      <c r="H32" s="20" t="n">
        <v>12000</v>
      </c>
      <c r="I32" s="21" t="n">
        <v>0</v>
      </c>
      <c r="J32" s="12" t="s">
        <v>96</v>
      </c>
      <c r="K32" s="20" t="n">
        <f aca="false">G32*H32*(1-I32)</f>
        <v>72000</v>
      </c>
      <c r="L32" s="22" t="n">
        <f aca="false">DATE(YEAR(B32),MONTH(B32),1)</f>
        <v>46204</v>
      </c>
    </row>
    <row r="33" customFormat="false" ht="15" hidden="false" customHeight="false" outlineLevel="0" collapsed="false">
      <c r="A33" s="12" t="s">
        <v>174</v>
      </c>
      <c r="B33" s="19" t="n">
        <v>46234</v>
      </c>
      <c r="C33" s="12" t="s">
        <v>144</v>
      </c>
      <c r="D33" s="12" t="s">
        <v>37</v>
      </c>
      <c r="E33" s="12" t="s">
        <v>28</v>
      </c>
      <c r="F33" s="12" t="s">
        <v>111</v>
      </c>
      <c r="G33" s="12" t="n">
        <v>4</v>
      </c>
      <c r="H33" s="20" t="n">
        <v>1200</v>
      </c>
      <c r="I33" s="21" t="n">
        <v>0.15</v>
      </c>
      <c r="J33" s="12" t="s">
        <v>91</v>
      </c>
      <c r="K33" s="20" t="n">
        <f aca="false">G33*H33*(1-I33)</f>
        <v>4080</v>
      </c>
      <c r="L33" s="22" t="n">
        <f aca="false">DATE(YEAR(B33),MONTH(B33),1)</f>
        <v>46204</v>
      </c>
    </row>
    <row r="34" customFormat="false" ht="15" hidden="false" customHeight="false" outlineLevel="0" collapsed="false">
      <c r="A34" s="12" t="s">
        <v>176</v>
      </c>
      <c r="B34" s="19" t="n">
        <v>46207</v>
      </c>
      <c r="C34" s="12" t="s">
        <v>90</v>
      </c>
      <c r="D34" s="12" t="s">
        <v>38</v>
      </c>
      <c r="E34" s="12" t="s">
        <v>30</v>
      </c>
      <c r="F34" s="12" t="s">
        <v>85</v>
      </c>
      <c r="G34" s="12" t="n">
        <v>8</v>
      </c>
      <c r="H34" s="20" t="n">
        <v>12000</v>
      </c>
      <c r="I34" s="21" t="n">
        <v>0.05</v>
      </c>
      <c r="J34" s="12" t="s">
        <v>87</v>
      </c>
      <c r="K34" s="20" t="n">
        <f aca="false">G34*H34*(1-I34)</f>
        <v>91200</v>
      </c>
      <c r="L34" s="22" t="n">
        <f aca="false">DATE(YEAR(B34),MONTH(B34),1)</f>
        <v>46204</v>
      </c>
    </row>
    <row r="35" customFormat="false" ht="15" hidden="false" customHeight="false" outlineLevel="0" collapsed="false">
      <c r="A35" s="12" t="s">
        <v>178</v>
      </c>
      <c r="B35" s="19" t="n">
        <v>46261</v>
      </c>
      <c r="C35" s="12" t="s">
        <v>133</v>
      </c>
      <c r="D35" s="12" t="s">
        <v>38</v>
      </c>
      <c r="E35" s="12" t="s">
        <v>30</v>
      </c>
      <c r="F35" s="12" t="s">
        <v>85</v>
      </c>
      <c r="G35" s="12" t="n">
        <v>6</v>
      </c>
      <c r="H35" s="20" t="n">
        <v>12000</v>
      </c>
      <c r="I35" s="21" t="n">
        <v>0</v>
      </c>
      <c r="J35" s="12" t="s">
        <v>87</v>
      </c>
      <c r="K35" s="20" t="n">
        <f aca="false">G35*H35*(1-I35)</f>
        <v>72000</v>
      </c>
      <c r="L35" s="22" t="n">
        <f aca="false">DATE(YEAR(B35),MONTH(B35),1)</f>
        <v>46235</v>
      </c>
    </row>
    <row r="36" customFormat="false" ht="15" hidden="false" customHeight="false" outlineLevel="0" collapsed="false">
      <c r="A36" s="12" t="s">
        <v>180</v>
      </c>
      <c r="B36" s="19" t="n">
        <v>46233</v>
      </c>
      <c r="C36" s="12" t="s">
        <v>129</v>
      </c>
      <c r="D36" s="12" t="s">
        <v>37</v>
      </c>
      <c r="E36" s="12" t="s">
        <v>26</v>
      </c>
      <c r="F36" s="12" t="s">
        <v>100</v>
      </c>
      <c r="G36" s="12" t="n">
        <v>6</v>
      </c>
      <c r="H36" s="20" t="n">
        <v>22000</v>
      </c>
      <c r="I36" s="21" t="n">
        <v>0</v>
      </c>
      <c r="J36" s="12" t="s">
        <v>91</v>
      </c>
      <c r="K36" s="20" t="n">
        <f aca="false">G36*H36*(1-I36)</f>
        <v>132000</v>
      </c>
      <c r="L36" s="22" t="n">
        <f aca="false">DATE(YEAR(B36),MONTH(B36),1)</f>
        <v>46204</v>
      </c>
    </row>
    <row r="37" customFormat="false" ht="15" hidden="false" customHeight="false" outlineLevel="0" collapsed="false">
      <c r="A37" s="12" t="s">
        <v>182</v>
      </c>
      <c r="B37" s="19" t="n">
        <v>46265</v>
      </c>
      <c r="C37" s="12" t="s">
        <v>99</v>
      </c>
      <c r="D37" s="12" t="s">
        <v>38</v>
      </c>
      <c r="E37" s="12" t="s">
        <v>25</v>
      </c>
      <c r="F37" s="12" t="s">
        <v>100</v>
      </c>
      <c r="G37" s="12" t="n">
        <v>2</v>
      </c>
      <c r="H37" s="20" t="n">
        <v>55000</v>
      </c>
      <c r="I37" s="21" t="n">
        <v>0</v>
      </c>
      <c r="J37" s="12" t="s">
        <v>91</v>
      </c>
      <c r="K37" s="20" t="n">
        <f aca="false">G37*H37*(1-I37)</f>
        <v>110000</v>
      </c>
      <c r="L37" s="22" t="n">
        <f aca="false">DATE(YEAR(B37),MONTH(B37),1)</f>
        <v>46235</v>
      </c>
    </row>
    <row r="38" customFormat="false" ht="15" hidden="false" customHeight="false" outlineLevel="0" collapsed="false">
      <c r="A38" s="12" t="s">
        <v>184</v>
      </c>
      <c r="B38" s="19" t="n">
        <v>46265</v>
      </c>
      <c r="C38" s="12" t="s">
        <v>103</v>
      </c>
      <c r="D38" s="12" t="s">
        <v>39</v>
      </c>
      <c r="E38" s="12" t="s">
        <v>28</v>
      </c>
      <c r="F38" s="12" t="s">
        <v>111</v>
      </c>
      <c r="G38" s="12" t="n">
        <v>6</v>
      </c>
      <c r="H38" s="20" t="n">
        <v>1200</v>
      </c>
      <c r="I38" s="21" t="n">
        <v>0</v>
      </c>
      <c r="J38" s="12" t="s">
        <v>91</v>
      </c>
      <c r="K38" s="20" t="n">
        <f aca="false">G38*H38*(1-I38)</f>
        <v>7200</v>
      </c>
      <c r="L38" s="22" t="n">
        <f aca="false">DATE(YEAR(B38),MONTH(B38),1)</f>
        <v>46235</v>
      </c>
    </row>
    <row r="39" customFormat="false" ht="15" hidden="false" customHeight="false" outlineLevel="0" collapsed="false">
      <c r="A39" s="12" t="s">
        <v>187</v>
      </c>
      <c r="B39" s="19" t="n">
        <v>46255</v>
      </c>
      <c r="C39" s="12" t="s">
        <v>133</v>
      </c>
      <c r="D39" s="12" t="s">
        <v>36</v>
      </c>
      <c r="E39" s="12" t="s">
        <v>32</v>
      </c>
      <c r="F39" s="12" t="s">
        <v>95</v>
      </c>
      <c r="G39" s="12" t="n">
        <v>3</v>
      </c>
      <c r="H39" s="20" t="n">
        <v>180</v>
      </c>
      <c r="I39" s="21" t="n">
        <v>0</v>
      </c>
      <c r="J39" s="12" t="s">
        <v>87</v>
      </c>
      <c r="K39" s="20" t="n">
        <f aca="false">G39*H39*(1-I39)</f>
        <v>540</v>
      </c>
      <c r="L39" s="22" t="n">
        <f aca="false">DATE(YEAR(B39),MONTH(B39),1)</f>
        <v>46235</v>
      </c>
    </row>
    <row r="40" customFormat="false" ht="15" hidden="false" customHeight="false" outlineLevel="0" collapsed="false">
      <c r="A40" s="12" t="s">
        <v>189</v>
      </c>
      <c r="B40" s="19" t="n">
        <v>46223</v>
      </c>
      <c r="C40" s="12" t="s">
        <v>149</v>
      </c>
      <c r="D40" s="12" t="s">
        <v>39</v>
      </c>
      <c r="E40" s="12" t="s">
        <v>25</v>
      </c>
      <c r="F40" s="12" t="s">
        <v>100</v>
      </c>
      <c r="G40" s="12" t="n">
        <v>3</v>
      </c>
      <c r="H40" s="20" t="n">
        <v>55000</v>
      </c>
      <c r="I40" s="21" t="n">
        <v>0.15</v>
      </c>
      <c r="J40" s="12" t="s">
        <v>96</v>
      </c>
      <c r="K40" s="20" t="n">
        <f aca="false">G40*H40*(1-I40)</f>
        <v>140250</v>
      </c>
      <c r="L40" s="22" t="n">
        <f aca="false">DATE(YEAR(B40),MONTH(B40),1)</f>
        <v>46204</v>
      </c>
    </row>
    <row r="41" customFormat="false" ht="15" hidden="false" customHeight="false" outlineLevel="0" collapsed="false">
      <c r="A41" s="12" t="s">
        <v>191</v>
      </c>
      <c r="B41" s="19" t="n">
        <v>46288</v>
      </c>
      <c r="C41" s="12" t="s">
        <v>173</v>
      </c>
      <c r="D41" s="12" t="s">
        <v>37</v>
      </c>
      <c r="E41" s="12" t="s">
        <v>32</v>
      </c>
      <c r="F41" s="12" t="s">
        <v>95</v>
      </c>
      <c r="G41" s="12" t="n">
        <v>3</v>
      </c>
      <c r="H41" s="20" t="n">
        <v>180</v>
      </c>
      <c r="I41" s="21" t="n">
        <v>0</v>
      </c>
      <c r="J41" s="12" t="s">
        <v>87</v>
      </c>
      <c r="K41" s="20" t="n">
        <f aca="false">G41*H41*(1-I41)</f>
        <v>540</v>
      </c>
      <c r="L41" s="22" t="n">
        <f aca="false">DATE(YEAR(B41),MONTH(B41),1)</f>
        <v>46266</v>
      </c>
    </row>
    <row r="43" customFormat="false" ht="15" hidden="false" customHeight="false" outlineLevel="0" collapsed="false">
      <c r="A43" s="2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16" t="s">
        <v>231</v>
      </c>
    </row>
    <row r="3" customFormat="false" ht="15" hidden="false" customHeight="false" outlineLevel="0" collapsed="false">
      <c r="A3" s="5" t="s">
        <v>232</v>
      </c>
      <c r="B3" s="5" t="s">
        <v>77</v>
      </c>
      <c r="C3" s="5" t="s">
        <v>78</v>
      </c>
      <c r="D3" s="5" t="s">
        <v>15</v>
      </c>
      <c r="E3" s="5" t="s">
        <v>233</v>
      </c>
    </row>
    <row r="4" customFormat="false" ht="15" hidden="false" customHeight="false" outlineLevel="0" collapsed="false">
      <c r="A4" s="23" t="s">
        <v>234</v>
      </c>
      <c r="B4" s="24" t="n">
        <f aca="false">COUNT(4_Clean_Data!$G$2:$G$41)</f>
        <v>40</v>
      </c>
      <c r="C4" s="10" t="n">
        <f aca="false">COUNT(4_Clean_Data!$H$2:$H$41)</f>
        <v>40</v>
      </c>
      <c r="D4" s="10" t="n">
        <f aca="false">COUNT(4_Clean_Data!$K$2:$K$41)</f>
        <v>40</v>
      </c>
      <c r="E4" s="2" t="s">
        <v>235</v>
      </c>
    </row>
    <row r="5" customFormat="false" ht="15" hidden="false" customHeight="false" outlineLevel="0" collapsed="false">
      <c r="A5" s="23" t="s">
        <v>236</v>
      </c>
      <c r="B5" s="24" t="n">
        <f aca="false">AVERAGE(4_Clean_Data!$G$2:$G$41)</f>
        <v>4.725</v>
      </c>
      <c r="C5" s="10" t="n">
        <f aca="false">AVERAGE(4_Clean_Data!$H$2:$H$41)</f>
        <v>14958</v>
      </c>
      <c r="D5" s="10" t="n">
        <f aca="false">AVERAGE(4_Clean_Data!$K$2:$K$41)</f>
        <v>66771.975</v>
      </c>
      <c r="E5" s="2" t="s">
        <v>237</v>
      </c>
    </row>
    <row r="6" customFormat="false" ht="15" hidden="false" customHeight="false" outlineLevel="0" collapsed="false">
      <c r="A6" s="23" t="s">
        <v>238</v>
      </c>
      <c r="B6" s="24" t="n">
        <f aca="false">MEDIAN(4_Clean_Data!$G$2:$G$41)</f>
        <v>5</v>
      </c>
      <c r="C6" s="10" t="n">
        <f aca="false">MEDIAN(4_Clean_Data!$H$2:$H$41)</f>
        <v>10250</v>
      </c>
      <c r="D6" s="10" t="n">
        <f aca="false">MEDIAN(4_Clean_Data!$K$2:$K$41)</f>
        <v>25500</v>
      </c>
      <c r="E6" s="2" t="s">
        <v>239</v>
      </c>
    </row>
    <row r="7" customFormat="false" ht="15" hidden="false" customHeight="false" outlineLevel="0" collapsed="false">
      <c r="A7" s="23" t="s">
        <v>240</v>
      </c>
      <c r="B7" s="24" t="n">
        <f aca="false">MODE(4_Clean_Data!$G$2:$G$41)</f>
        <v>3</v>
      </c>
      <c r="C7" s="10" t="n">
        <f aca="false">MODE(4_Clean_Data!$H$2:$H$41)</f>
        <v>180</v>
      </c>
      <c r="D7" s="10" t="n">
        <f aca="false">MODE(4_Clean_Data!$K$2:$K$41)</f>
        <v>540</v>
      </c>
      <c r="E7" s="2" t="s">
        <v>241</v>
      </c>
    </row>
    <row r="8" customFormat="false" ht="15" hidden="false" customHeight="false" outlineLevel="0" collapsed="false">
      <c r="A8" s="23" t="s">
        <v>242</v>
      </c>
      <c r="B8" s="24" t="n">
        <f aca="false">STDEV(4_Clean_Data!$G$2:$G$41)</f>
        <v>2.20706906238882</v>
      </c>
      <c r="C8" s="10" t="n">
        <f aca="false">STDEV(4_Clean_Data!$H$2:$H$41)</f>
        <v>18784.2446528863</v>
      </c>
      <c r="D8" s="10" t="n">
        <f aca="false">STDEV(4_Clean_Data!$K$2:$K$41)</f>
        <v>93142.528244177</v>
      </c>
      <c r="E8" s="2" t="s">
        <v>243</v>
      </c>
    </row>
    <row r="9" customFormat="false" ht="15" hidden="false" customHeight="false" outlineLevel="0" collapsed="false">
      <c r="A9" s="23" t="s">
        <v>244</v>
      </c>
      <c r="B9" s="24" t="n">
        <f aca="false">VAR(4_Clean_Data!$G$2:$G$41)</f>
        <v>4.87115384615385</v>
      </c>
      <c r="C9" s="10" t="n">
        <f aca="false">VAR(4_Clean_Data!$H$2:$H$41)</f>
        <v>352847847.179487</v>
      </c>
      <c r="D9" s="10" t="n">
        <f aca="false">VAR(4_Clean_Data!$K$2:$K$41)</f>
        <v>8675530567.71731</v>
      </c>
      <c r="E9" s="2" t="s">
        <v>245</v>
      </c>
    </row>
    <row r="10" customFormat="false" ht="15" hidden="false" customHeight="false" outlineLevel="0" collapsed="false">
      <c r="A10" s="23" t="s">
        <v>246</v>
      </c>
      <c r="B10" s="24" t="n">
        <f aca="false">MIN(4_Clean_Data!$G$2:$G$41)</f>
        <v>1</v>
      </c>
      <c r="C10" s="10" t="n">
        <f aca="false">MIN(4_Clean_Data!$H$2:$H$41)</f>
        <v>180</v>
      </c>
      <c r="D10" s="10" t="n">
        <f aca="false">MIN(4_Clean_Data!$K$2:$K$41)</f>
        <v>342</v>
      </c>
      <c r="E10" s="2" t="s">
        <v>247</v>
      </c>
    </row>
    <row r="11" customFormat="false" ht="15" hidden="false" customHeight="false" outlineLevel="0" collapsed="false">
      <c r="A11" s="23" t="s">
        <v>248</v>
      </c>
      <c r="B11" s="24" t="n">
        <f aca="false">QUARTILE(4_Clean_Data!$G$2:$G$41,1)</f>
        <v>3</v>
      </c>
      <c r="C11" s="10" t="n">
        <f aca="false">QUARTILE(4_Clean_Data!$H$2:$H$41,1)</f>
        <v>350</v>
      </c>
      <c r="D11" s="10" t="n">
        <f aca="false">QUARTILE(4_Clean_Data!$K$2:$K$41,1)</f>
        <v>2094</v>
      </c>
      <c r="E11" s="2" t="s">
        <v>249</v>
      </c>
    </row>
    <row r="12" customFormat="false" ht="15" hidden="false" customHeight="false" outlineLevel="0" collapsed="false">
      <c r="A12" s="23" t="s">
        <v>250</v>
      </c>
      <c r="B12" s="24" t="n">
        <f aca="false">QUARTILE(4_Clean_Data!$G$2:$G$41,3)</f>
        <v>6.25</v>
      </c>
      <c r="C12" s="10" t="n">
        <f aca="false">QUARTILE(4_Clean_Data!$H$2:$H$41,3)</f>
        <v>22000</v>
      </c>
      <c r="D12" s="10" t="n">
        <f aca="false">QUARTILE(4_Clean_Data!$K$2:$K$41,3)</f>
        <v>95900</v>
      </c>
      <c r="E12" s="2" t="s">
        <v>251</v>
      </c>
    </row>
    <row r="13" customFormat="false" ht="15" hidden="false" customHeight="false" outlineLevel="0" collapsed="false">
      <c r="A13" s="23" t="s">
        <v>252</v>
      </c>
      <c r="B13" s="24" t="n">
        <f aca="false">MAX(4_Clean_Data!$G$2:$G$41)</f>
        <v>8</v>
      </c>
      <c r="C13" s="10" t="n">
        <f aca="false">MAX(4_Clean_Data!$H$2:$H$41)</f>
        <v>55000</v>
      </c>
      <c r="D13" s="10" t="n">
        <f aca="false">MAX(4_Clean_Data!$K$2:$K$41)</f>
        <v>385000</v>
      </c>
      <c r="E13" s="2" t="s">
        <v>253</v>
      </c>
    </row>
    <row r="14" customFormat="false" ht="15" hidden="false" customHeight="false" outlineLevel="0" collapsed="false">
      <c r="A14" s="23" t="s">
        <v>254</v>
      </c>
      <c r="B14" s="24" t="n">
        <f aca="false">MAX(4_Clean_Data!$G$2:$G$41)-MIN(4_Clean_Data!$G$2:$G$41)</f>
        <v>7</v>
      </c>
      <c r="C14" s="10" t="n">
        <f aca="false">MAX(4_Clean_Data!$H$2:$H$41)-MIN(4_Clean_Data!$H$2:$H$41)</f>
        <v>54820</v>
      </c>
      <c r="D14" s="10" t="n">
        <f aca="false">MAX(4_Clean_Data!$K$2:$K$41)-MIN(4_Clean_Data!$K$2:$K$41)</f>
        <v>384658</v>
      </c>
      <c r="E14" s="2" t="s">
        <v>255</v>
      </c>
    </row>
    <row r="15" customFormat="false" ht="15" hidden="false" customHeight="false" outlineLevel="0" collapsed="false">
      <c r="A15" s="23" t="s">
        <v>256</v>
      </c>
      <c r="B15" s="24" t="n">
        <f aca="false">QUARTILE(4_Clean_Data!$G$2:$G$41,3)-QUARTILE(4_Clean_Data!$G$2:$G$41,1)</f>
        <v>3.25</v>
      </c>
      <c r="C15" s="10" t="n">
        <f aca="false">QUARTILE(4_Clean_Data!$H$2:$H$41,3)-QUARTILE(4_Clean_Data!$H$2:$H$41,1)</f>
        <v>21650</v>
      </c>
      <c r="D15" s="10" t="n">
        <f aca="false">QUARTILE(4_Clean_Data!$K$2:$K$41,3)-QUARTILE(4_Clean_Data!$K$2:$K$41,1)</f>
        <v>93806</v>
      </c>
      <c r="E15" s="2" t="s">
        <v>257</v>
      </c>
    </row>
    <row r="16" customFormat="false" ht="15" hidden="false" customHeight="false" outlineLevel="0" collapsed="false">
      <c r="A16" s="23" t="s">
        <v>258</v>
      </c>
      <c r="B16" s="25" t="n">
        <f aca="false">STDEV(4_Clean_Data!$G$2:$G$41)/AVERAGE(4_Clean_Data!$G$2:$G$41)</f>
        <v>0.467104563468533</v>
      </c>
      <c r="C16" s="25" t="n">
        <f aca="false">STDEV(4_Clean_Data!$H$2:$H$41)/AVERAGE(4_Clean_Data!$H$2:$H$41)</f>
        <v>1.25579921466013</v>
      </c>
      <c r="D16" s="25" t="n">
        <f aca="false">STDEV(4_Clean_Data!$K$2:$K$41)/AVERAGE(4_Clean_Data!$K$2:$K$41)</f>
        <v>1.39493445033155</v>
      </c>
      <c r="E16" s="2" t="s">
        <v>259</v>
      </c>
    </row>
    <row r="18" customFormat="false" ht="15" hidden="false" customHeight="false" outlineLevel="0" collapsed="false">
      <c r="A18" s="3" t="s">
        <v>260</v>
      </c>
    </row>
    <row r="19" customFormat="false" ht="15" hidden="false" customHeight="false" outlineLevel="0" collapsed="false">
      <c r="A19" s="15" t="str">
        <f aca="false">"Mean revenue per order (₹"&amp;TEXT(D5,"#,##0")&amp;") is well above the median (₹"&amp;TEXT(D6,"#,##0")&amp;"), so a few high-value orders (laptops, smartphones, furniture) pull the average up. The median is the better description of a typical order."</f>
        <v>Mean revenue per order (₹66,772) is well above the median (₹25,500), so a few high-value orders (laptops, smartphones, furniture) pull the average up. The median is the better description of a typical order.</v>
      </c>
      <c r="B19" s="15"/>
      <c r="C19" s="15"/>
      <c r="D19" s="15"/>
      <c r="E19" s="15"/>
    </row>
    <row r="20" customFormat="false" ht="15" hidden="false" customHeight="false" outlineLevel="0" collapsed="false">
      <c r="A20" s="15"/>
      <c r="B20" s="15"/>
      <c r="C20" s="15"/>
      <c r="D20" s="15"/>
      <c r="E20" s="15"/>
    </row>
    <row r="21" customFormat="false" ht="15" hidden="false" customHeight="false" outlineLevel="0" collapsed="false">
      <c r="A21" s="15"/>
      <c r="B21" s="15"/>
      <c r="C21" s="15"/>
      <c r="D21" s="15"/>
      <c r="E21" s="15"/>
    </row>
  </sheetData>
  <mergeCells count="1">
    <mergeCell ref="A19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4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6" t="s">
        <v>261</v>
      </c>
    </row>
    <row r="2" customFormat="false" ht="15" hidden="false" customHeight="false" outlineLevel="0" collapsed="false">
      <c r="A2" s="2" t="s">
        <v>262</v>
      </c>
    </row>
    <row r="4" customFormat="false" ht="15" hidden="false" customHeight="false" outlineLevel="0" collapsed="false">
      <c r="A4" s="5" t="s">
        <v>263</v>
      </c>
      <c r="B4" s="5" t="s">
        <v>264</v>
      </c>
      <c r="C4" s="5" t="s">
        <v>265</v>
      </c>
    </row>
    <row r="5" customFormat="false" ht="15" hidden="false" customHeight="false" outlineLevel="0" collapsed="false">
      <c r="A5" s="23" t="s">
        <v>266</v>
      </c>
      <c r="B5" s="10" t="n">
        <f aca="false">COUNTA(4_Clean_Data!$A$2:$A$41)</f>
        <v>40</v>
      </c>
      <c r="C5" s="2" t="s">
        <v>267</v>
      </c>
    </row>
    <row r="6" customFormat="false" ht="15" hidden="false" customHeight="false" outlineLevel="0" collapsed="false">
      <c r="A6" s="23" t="s">
        <v>268</v>
      </c>
      <c r="B6" s="10" t="n">
        <f aca="false">COUNTIF(4_Clean_Data!$J$2:$J$41,"&lt;&gt;Cancelled")</f>
        <v>30</v>
      </c>
      <c r="C6" s="2" t="s">
        <v>269</v>
      </c>
    </row>
    <row r="7" customFormat="false" ht="15" hidden="false" customHeight="false" outlineLevel="0" collapsed="false">
      <c r="A7" s="23" t="s">
        <v>6</v>
      </c>
      <c r="B7" s="10" t="n">
        <f aca="false">SUMIFS(4_Clean_Data!$K$2:$K$41,4_Clean_Data!$J$2:$J$41,"&lt;&gt;Cancelled")</f>
        <v>1908887</v>
      </c>
      <c r="C7" s="2" t="s">
        <v>270</v>
      </c>
    </row>
    <row r="8" customFormat="false" ht="15" hidden="false" customHeight="false" outlineLevel="0" collapsed="false">
      <c r="A8" s="23" t="s">
        <v>271</v>
      </c>
      <c r="B8" s="10" t="n">
        <f aca="false">IFERROR(B7/B6,0)</f>
        <v>63629.5666666667</v>
      </c>
      <c r="C8" s="2" t="s">
        <v>272</v>
      </c>
    </row>
    <row r="9" customFormat="false" ht="15" hidden="false" customHeight="false" outlineLevel="0" collapsed="false">
      <c r="A9" s="23" t="s">
        <v>9</v>
      </c>
      <c r="B9" s="10" t="n">
        <f aca="false">SUMIFS(4_Clean_Data!$G$2:$G$41,4_Clean_Data!$J$2:$J$41,"&lt;&gt;Cancelled")</f>
        <v>134</v>
      </c>
      <c r="C9" s="2" t="s">
        <v>273</v>
      </c>
    </row>
    <row r="10" customFormat="false" ht="15" hidden="false" customHeight="false" outlineLevel="0" collapsed="false">
      <c r="A10" s="23" t="s">
        <v>274</v>
      </c>
      <c r="B10" s="14" t="n">
        <f aca="false">AVERAGEIFS(4_Clean_Data!$I$2:$I$41,4_Clean_Data!$J$2:$J$41,"&lt;&gt;Cancelled")</f>
        <v>0.0516666666666667</v>
      </c>
      <c r="C10" s="2" t="s">
        <v>275</v>
      </c>
    </row>
    <row r="11" customFormat="false" ht="15" hidden="false" customHeight="false" outlineLevel="0" collapsed="false">
      <c r="A11" s="23" t="s">
        <v>10</v>
      </c>
      <c r="B11" s="14" t="n">
        <f aca="false">COUNTIF(4_Clean_Data!$J$2:$J$41,"Cancelled")/B5</f>
        <v>0.25</v>
      </c>
      <c r="C11" s="2" t="s">
        <v>276</v>
      </c>
    </row>
    <row r="12" customFormat="false" ht="15" hidden="false" customHeight="false" outlineLevel="0" collapsed="false">
      <c r="A12" s="23" t="s">
        <v>277</v>
      </c>
      <c r="B12" s="10" t="n">
        <f aca="false">SUMIFS(4_Clean_Data!$K$2:$K$41,4_Clean_Data!$J$2:$J$41,"Cancelled")</f>
        <v>761992</v>
      </c>
      <c r="C12" s="2" t="s">
        <v>278</v>
      </c>
    </row>
    <row r="13" customFormat="false" ht="15" hidden="false" customHeight="false" outlineLevel="0" collapsed="false">
      <c r="A13" s="23" t="s">
        <v>279</v>
      </c>
      <c r="B13" s="10" t="n">
        <f aca="false">SUMIFS(4_Clean_Data!$K$2:$K$41,4_Clean_Data!$J$2:$J$41,"Paid")</f>
        <v>986100</v>
      </c>
      <c r="C13" s="2" t="s">
        <v>280</v>
      </c>
    </row>
    <row r="14" customFormat="false" ht="15" hidden="false" customHeight="false" outlineLevel="0" collapsed="false">
      <c r="A14" s="23" t="s">
        <v>281</v>
      </c>
      <c r="B14" s="14" t="n">
        <f aca="false">IFERROR(B13/B7,0)</f>
        <v>0.516583747492649</v>
      </c>
      <c r="C14" s="2" t="s">
        <v>282</v>
      </c>
    </row>
    <row r="16" customFormat="false" ht="15" hidden="false" customHeight="false" outlineLevel="0" collapsed="false">
      <c r="A16" s="3" t="s">
        <v>283</v>
      </c>
    </row>
    <row r="17" customFormat="false" ht="15" hidden="false" customHeight="false" outlineLevel="0" collapsed="false">
      <c r="A17" s="5" t="s">
        <v>34</v>
      </c>
      <c r="B17" s="5" t="s">
        <v>15</v>
      </c>
      <c r="C17" s="5" t="s">
        <v>284</v>
      </c>
    </row>
    <row r="18" customFormat="false" ht="15" hidden="false" customHeight="false" outlineLevel="0" collapsed="false">
      <c r="A18" s="9" t="s">
        <v>36</v>
      </c>
      <c r="B18" s="10" t="n">
        <f aca="false">SUMIFS(4_Clean_Data!$K$2:$K$41,4_Clean_Data!$D$2:$D$41,A18,4_Clean_Data!$J$2:$J$41,"&lt;&gt;Cancelled")</f>
        <v>127934</v>
      </c>
      <c r="C18" s="14" t="n">
        <f aca="false">IFERROR(B18/$B$7,0)</f>
        <v>0.0670202060153377</v>
      </c>
    </row>
    <row r="19" customFormat="false" ht="15" hidden="false" customHeight="false" outlineLevel="0" collapsed="false">
      <c r="A19" s="9" t="s">
        <v>37</v>
      </c>
      <c r="B19" s="10" t="n">
        <f aca="false">SUMIFS(4_Clean_Data!$K$2:$K$41,4_Clean_Data!$D$2:$D$41,A19,4_Clean_Data!$J$2:$J$41,"&lt;&gt;Cancelled")</f>
        <v>414712</v>
      </c>
      <c r="C19" s="14" t="n">
        <f aca="false">IFERROR(B19/$B$7,0)</f>
        <v>0.21725329995961</v>
      </c>
    </row>
    <row r="20" customFormat="false" ht="15" hidden="false" customHeight="false" outlineLevel="0" collapsed="false">
      <c r="A20" s="9" t="s">
        <v>38</v>
      </c>
      <c r="B20" s="10" t="n">
        <f aca="false">SUMIFS(4_Clean_Data!$K$2:$K$41,4_Clean_Data!$D$2:$D$41,A20,4_Clean_Data!$J$2:$J$41,"&lt;&gt;Cancelled")</f>
        <v>528065</v>
      </c>
      <c r="C20" s="14" t="n">
        <f aca="false">IFERROR(B20/$B$7,0)</f>
        <v>0.276635023445599</v>
      </c>
    </row>
    <row r="21" customFormat="false" ht="15" hidden="false" customHeight="false" outlineLevel="0" collapsed="false">
      <c r="A21" s="9" t="s">
        <v>39</v>
      </c>
      <c r="B21" s="10" t="n">
        <f aca="false">SUMIFS(4_Clean_Data!$K$2:$K$41,4_Clean_Data!$D$2:$D$41,A21,4_Clean_Data!$J$2:$J$41,"&lt;&gt;Cancelled")</f>
        <v>683150</v>
      </c>
      <c r="C21" s="14" t="n">
        <f aca="false">IFERROR(B21/$B$7,0)</f>
        <v>0.357878701044116</v>
      </c>
    </row>
    <row r="22" customFormat="false" ht="15" hidden="false" customHeight="false" outlineLevel="0" collapsed="false">
      <c r="A22" s="9" t="s">
        <v>40</v>
      </c>
      <c r="B22" s="10" t="n">
        <f aca="false">SUMIFS(4_Clean_Data!$K$2:$K$41,4_Clean_Data!$D$2:$D$41,A22,4_Clean_Data!$J$2:$J$41,"&lt;&gt;Cancelled")</f>
        <v>155026</v>
      </c>
      <c r="C22" s="14" t="n">
        <f aca="false">IFERROR(B22/$B$7,0)</f>
        <v>0.0812127695353366</v>
      </c>
    </row>
    <row r="24" customFormat="false" ht="15" hidden="false" customHeight="false" outlineLevel="0" collapsed="false">
      <c r="A24" s="3" t="s">
        <v>285</v>
      </c>
    </row>
    <row r="25" customFormat="false" ht="15" hidden="false" customHeight="false" outlineLevel="0" collapsed="false">
      <c r="A25" s="5" t="s">
        <v>76</v>
      </c>
      <c r="B25" s="5" t="s">
        <v>15</v>
      </c>
      <c r="C25" s="5" t="s">
        <v>284</v>
      </c>
    </row>
    <row r="26" customFormat="false" ht="15" hidden="false" customHeight="false" outlineLevel="0" collapsed="false">
      <c r="A26" s="9" t="s">
        <v>100</v>
      </c>
      <c r="B26" s="10" t="n">
        <f aca="false">SUMIFS(4_Clean_Data!$K$2:$K$41,4_Clean_Data!$F$2:$F$41,A26,4_Clean_Data!$J$2:$J$41,"&lt;&gt;Cancelled")</f>
        <v>1500400</v>
      </c>
      <c r="C26" s="14" t="n">
        <f aca="false">IFERROR(B26/$B$7,0)</f>
        <v>0.786007762638648</v>
      </c>
    </row>
    <row r="27" customFormat="false" ht="15" hidden="false" customHeight="false" outlineLevel="0" collapsed="false">
      <c r="A27" s="9" t="s">
        <v>85</v>
      </c>
      <c r="B27" s="10" t="n">
        <f aca="false">SUMIFS(4_Clean_Data!$K$2:$K$41,4_Clean_Data!$F$2:$F$41,A27,4_Clean_Data!$J$2:$J$41,"&lt;&gt;Cancelled")</f>
        <v>369125</v>
      </c>
      <c r="C27" s="14" t="n">
        <f aca="false">IFERROR(B27/$B$7,0)</f>
        <v>0.193371844430812</v>
      </c>
    </row>
    <row r="28" customFormat="false" ht="15" hidden="false" customHeight="false" outlineLevel="0" collapsed="false">
      <c r="A28" s="9" t="s">
        <v>111</v>
      </c>
      <c r="B28" s="10" t="n">
        <f aca="false">SUMIFS(4_Clean_Data!$K$2:$K$41,4_Clean_Data!$F$2:$F$41,A28,4_Clean_Data!$J$2:$J$41,"&lt;&gt;Cancelled")</f>
        <v>34520</v>
      </c>
      <c r="C28" s="14" t="n">
        <f aca="false">IFERROR(B28/$B$7,0)</f>
        <v>0.0180838362878473</v>
      </c>
    </row>
    <row r="29" customFormat="false" ht="15" hidden="false" customHeight="false" outlineLevel="0" collapsed="false">
      <c r="A29" s="9" t="s">
        <v>95</v>
      </c>
      <c r="B29" s="10" t="n">
        <f aca="false">SUMIFS(4_Clean_Data!$K$2:$K$41,4_Clean_Data!$F$2:$F$41,A29,4_Clean_Data!$J$2:$J$41,"&lt;&gt;Cancelled")</f>
        <v>4842</v>
      </c>
      <c r="C29" s="14" t="n">
        <f aca="false">IFERROR(B29/$B$7,0)</f>
        <v>0.00253655664269284</v>
      </c>
    </row>
    <row r="32" customFormat="false" ht="15" hidden="false" customHeight="false" outlineLevel="0" collapsed="false">
      <c r="A32" s="3" t="s">
        <v>12</v>
      </c>
      <c r="B32" s="12" t="str">
        <f aca="false">INDEX(A18:A21,MATCH(MAX(B18:B21),B18:B21,0))</f>
        <v>West</v>
      </c>
    </row>
    <row r="33" customFormat="false" ht="15" hidden="false" customHeight="false" outlineLevel="0" collapsed="false">
      <c r="A33" s="3" t="s">
        <v>286</v>
      </c>
      <c r="B33" s="12" t="str">
        <f aca="false">INDEX(A26:A29,MATCH(MAX(B26:B29),B26:B29,0))</f>
        <v>Electronics</v>
      </c>
    </row>
    <row r="36" customFormat="false" ht="15" hidden="false" customHeight="false" outlineLevel="0" collapsed="false">
      <c r="A36" s="3" t="s">
        <v>287</v>
      </c>
    </row>
    <row r="37" customFormat="false" ht="30" hidden="false" customHeight="true" outlineLevel="0" collapsed="false">
      <c r="A37" s="15" t="str">
        <f aca="false">"1. Total revenue is ₹"&amp;TEXT(B7,"#,##0")&amp;" from "&amp;B6&amp;" valid orders (average order value ₹"&amp;TEXT(B8,"#,##0")&amp;")."</f>
        <v>1. Total revenue is ₹1,908,887 from 30 valid orders (average order value ₹63,630).</v>
      </c>
      <c r="B37" s="15"/>
      <c r="C37" s="15"/>
      <c r="D37" s="15"/>
      <c r="E37" s="15"/>
      <c r="F37" s="15"/>
    </row>
    <row r="38" customFormat="false" ht="30" hidden="false" customHeight="true" outlineLevel="0" collapsed="false">
      <c r="A38" s="15" t="str">
        <f aca="false">"2. "&amp;B32&amp;" is the strongest region and "&amp;B33&amp;" is the strongest category by revenue."</f>
        <v>2. West is the strongest region and Electronics is the strongest category by revenue.</v>
      </c>
      <c r="B38" s="15"/>
      <c r="C38" s="15"/>
      <c r="D38" s="15"/>
      <c r="E38" s="15"/>
      <c r="F38" s="15"/>
    </row>
    <row r="39" customFormat="false" ht="30" hidden="false" customHeight="true" outlineLevel="0" collapsed="false">
      <c r="A39" s="15" t="str">
        <f aca="false">"3. "&amp;TEXT(B11,"0.0%")&amp;" of orders were cancelled, losing ₹"&amp;TEXT(B12,"#,##0")&amp;" in potential revenue – investigate the reasons and tighten confirmation/delivery follow-up."</f>
        <v>3. 25.0% of orders were cancelled, losing ₹761,992 in potential revenue – investigate the reasons and tighten confirmation/delivery follow-up.</v>
      </c>
      <c r="B39" s="15"/>
      <c r="C39" s="15"/>
      <c r="D39" s="15"/>
      <c r="E39" s="15"/>
      <c r="F39" s="15"/>
    </row>
    <row r="40" customFormat="false" ht="30" hidden="false" customHeight="true" outlineLevel="0" collapsed="false">
      <c r="A40" s="15" t="str">
        <f aca="false">"4. Only "&amp;TEXT(B14,"0.0%")&amp;" of revenue is on Paid orders; follow up on Pending payments to improve cash collection."</f>
        <v>4. Only 51.7% of revenue is on Paid orders; follow up on Pending payments to improve cash collection.</v>
      </c>
      <c r="B40" s="15"/>
      <c r="C40" s="15"/>
      <c r="D40" s="15"/>
      <c r="E40" s="15"/>
      <c r="F40" s="15"/>
    </row>
    <row r="41" customFormat="false" ht="30" hidden="false" customHeight="true" outlineLevel="0" collapsed="false">
      <c r="A41" s="15" t="s">
        <v>288</v>
      </c>
      <c r="B41" s="15"/>
      <c r="C41" s="15"/>
      <c r="D41" s="15"/>
      <c r="E41" s="15"/>
      <c r="F41" s="15"/>
    </row>
  </sheetData>
  <mergeCells count="5">
    <mergeCell ref="A37:F37"/>
    <mergeCell ref="A38:F38"/>
    <mergeCell ref="A39:F39"/>
    <mergeCell ref="A40:F40"/>
    <mergeCell ref="A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8"/>
    <col collapsed="false" customWidth="true" hidden="false" outlineLevel="0" max="3" min="3" style="0" width="40"/>
    <col collapsed="false" customWidth="true" hidden="false" outlineLevel="0" max="4" min="4" style="0" width="4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6" t="s">
        <v>289</v>
      </c>
    </row>
    <row r="3" customFormat="false" ht="15" hidden="false" customHeight="false" outlineLevel="0" collapsed="false">
      <c r="A3" s="5" t="s">
        <v>290</v>
      </c>
      <c r="B3" s="5" t="s">
        <v>291</v>
      </c>
      <c r="C3" s="5" t="s">
        <v>292</v>
      </c>
      <c r="D3" s="5" t="s">
        <v>293</v>
      </c>
      <c r="E3" s="5" t="s">
        <v>294</v>
      </c>
    </row>
    <row r="4" customFormat="false" ht="48" hidden="false" customHeight="true" outlineLevel="0" collapsed="false">
      <c r="A4" s="26" t="s">
        <v>295</v>
      </c>
      <c r="B4" s="17" t="s">
        <v>296</v>
      </c>
      <c r="C4" s="17" t="s">
        <v>297</v>
      </c>
      <c r="D4" s="17" t="s">
        <v>298</v>
      </c>
      <c r="E4" s="17" t="s">
        <v>299</v>
      </c>
    </row>
    <row r="5" customFormat="false" ht="48" hidden="false" customHeight="true" outlineLevel="0" collapsed="false">
      <c r="A5" s="26" t="s">
        <v>300</v>
      </c>
      <c r="B5" s="17" t="s">
        <v>301</v>
      </c>
      <c r="C5" s="17" t="s">
        <v>302</v>
      </c>
      <c r="D5" s="17" t="s">
        <v>303</v>
      </c>
      <c r="E5" s="17" t="s">
        <v>304</v>
      </c>
    </row>
    <row r="6" customFormat="false" ht="48" hidden="false" customHeight="true" outlineLevel="0" collapsed="false">
      <c r="A6" s="26" t="s">
        <v>305</v>
      </c>
      <c r="B6" s="17" t="s">
        <v>306</v>
      </c>
      <c r="C6" s="17" t="s">
        <v>307</v>
      </c>
      <c r="D6" s="17" t="s">
        <v>308</v>
      </c>
      <c r="E6" s="17" t="s">
        <v>309</v>
      </c>
    </row>
    <row r="7" customFormat="false" ht="48" hidden="false" customHeight="true" outlineLevel="0" collapsed="false">
      <c r="A7" s="26" t="s">
        <v>310</v>
      </c>
      <c r="B7" s="17" t="s">
        <v>311</v>
      </c>
      <c r="C7" s="17" t="s">
        <v>312</v>
      </c>
      <c r="D7" s="17" t="s">
        <v>313</v>
      </c>
      <c r="E7" s="17" t="s">
        <v>314</v>
      </c>
    </row>
    <row r="8" customFormat="false" ht="48" hidden="false" customHeight="true" outlineLevel="0" collapsed="false">
      <c r="A8" s="26" t="s">
        <v>315</v>
      </c>
      <c r="B8" s="17" t="s">
        <v>316</v>
      </c>
      <c r="C8" s="17" t="s">
        <v>317</v>
      </c>
      <c r="D8" s="17" t="s">
        <v>318</v>
      </c>
      <c r="E8" s="17" t="s">
        <v>319</v>
      </c>
    </row>
    <row r="11" customFormat="false" ht="15" hidden="false" customHeight="false" outlineLevel="0" collapsed="false">
      <c r="A11" s="3" t="s">
        <v>320</v>
      </c>
    </row>
    <row r="12" customFormat="false" ht="15" hidden="false" customHeight="false" outlineLevel="0" collapsed="false">
      <c r="A12" s="12" t="s">
        <v>321</v>
      </c>
    </row>
    <row r="13" customFormat="false" ht="15" hidden="false" customHeight="false" outlineLevel="0" collapsed="false">
      <c r="A13" s="12" t="s">
        <v>322</v>
      </c>
    </row>
    <row r="14" customFormat="false" ht="15" hidden="false" customHeight="false" outlineLevel="0" collapsed="false">
      <c r="A14" s="12" t="s">
        <v>323</v>
      </c>
    </row>
    <row r="15" customFormat="false" ht="15" hidden="false" customHeight="false" outlineLevel="0" collapsed="false">
      <c r="A15" s="12" t="s">
        <v>324</v>
      </c>
    </row>
    <row r="16" customFormat="false" ht="15" hidden="false" customHeight="false" outlineLevel="0" collapsed="false">
      <c r="A16" s="12" t="s">
        <v>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2026-10-14T03:10:04Z</dcterms:created>
  <dc:creator>openpyxl</dc:creator>
  <dc:description/>
  <dc:language>en-US</dc:language>
  <cp:lastModifiedBy/>
  <dcterms:modified xsi:type="dcterms:W3CDTF">2026-10-14T03:10:06Z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